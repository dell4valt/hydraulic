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ll4valt/Documents/python/hydraulic/example/"/>
    </mc:Choice>
  </mc:AlternateContent>
  <xr:revisionPtr revIDLastSave="0" documentId="13_ncr:9_{70E26133-9416-AE46-8B4A-519F53EE959C}" xr6:coauthVersionLast="47" xr6:coauthVersionMax="47" xr10:uidLastSave="{00000000-0000-0000-0000-000000000000}"/>
  <bookViews>
    <workbookView xWindow="0" yWindow="760" windowWidth="30240" windowHeight="17440" xr2:uid="{7DA911D7-C3A1-874B-9AD6-F71C1646B3B0}"/>
  </bookViews>
  <sheets>
    <sheet name="1" sheetId="19" r:id="rId1"/>
    <sheet name="2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9" l="1"/>
  <c r="V16" i="19" s="1"/>
  <c r="W16" i="19" s="1"/>
  <c r="U16" i="19"/>
  <c r="V13" i="19" s="1"/>
  <c r="W13" i="19" s="1"/>
  <c r="U15" i="19"/>
  <c r="V15" i="19" s="1"/>
  <c r="U14" i="19"/>
  <c r="V14" i="19"/>
  <c r="U13" i="19"/>
  <c r="W14" i="19" s="1"/>
  <c r="U17" i="18"/>
  <c r="V16" i="18" s="1"/>
  <c r="W16" i="18" s="1"/>
  <c r="U16" i="18"/>
  <c r="V13" i="18" s="1"/>
  <c r="W13" i="18" s="1"/>
  <c r="U15" i="18"/>
  <c r="V15" i="18"/>
  <c r="U14" i="18"/>
  <c r="V14" i="18"/>
  <c r="U13" i="18"/>
  <c r="W14" i="18" s="1"/>
  <c r="W15" i="19" l="1"/>
  <c r="W15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Владимир С. Каменев</author>
    <author>Владимир Камене</author>
  </authors>
  <commentList>
    <comment ref="A1" authorId="0" shapeId="0" xr:uid="{75AC2457-2F43-8C45-9FEB-5124F4FB9006}">
      <text>
        <r>
          <rPr>
            <b/>
            <sz val="9"/>
            <color indexed="81"/>
            <rFont val="Tahoma"/>
            <charset val="1"/>
          </rPr>
          <t>Обязательный параметр координата по оси X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 xml:space="preserve">
Пример задания параметра:
</t>
        </r>
        <r>
          <rPr>
            <b/>
            <sz val="9"/>
            <color indexed="23"/>
            <rFont val="Tahoma"/>
            <family val="2"/>
            <charset val="204"/>
          </rPr>
          <t>0
1
2,5
3,65</t>
        </r>
      </text>
    </comment>
    <comment ref="B1" authorId="0" shapeId="0" xr:uid="{8F05A2E5-ED5C-4447-9CF4-2F2D0CEA7BCB}">
      <text>
        <r>
          <rPr>
            <b/>
            <sz val="9"/>
            <color indexed="81"/>
            <rFont val="Tahoma"/>
            <charset val="1"/>
          </rPr>
          <t xml:space="preserve">Обязательный параметр координата по оси Y (отметка)
Пример задания параметра:
</t>
        </r>
        <r>
          <rPr>
            <b/>
            <sz val="9"/>
            <color indexed="23"/>
            <rFont val="Tahoma"/>
            <family val="2"/>
            <charset val="204"/>
          </rPr>
          <t>435.44
434.27
400.16</t>
        </r>
        <r>
          <rPr>
            <b/>
            <sz val="9"/>
            <color indexed="81"/>
            <rFont val="Tahoma"/>
            <charset val="1"/>
          </rPr>
          <t xml:space="preserve">
</t>
        </r>
      </text>
    </comment>
    <comment ref="C1" authorId="0" shapeId="0" xr:uid="{45EED231-825B-584E-8670-634A755C8E4B}">
      <text>
        <r>
          <rPr>
            <b/>
            <sz val="9"/>
            <color indexed="81"/>
            <rFont val="Tahoma"/>
            <charset val="1"/>
          </rPr>
          <t xml:space="preserve">Обязательный параметр </t>
        </r>
        <r>
          <rPr>
            <b/>
            <sz val="9"/>
            <color indexed="10"/>
            <rFont val="Tahoma"/>
            <family val="2"/>
            <charset val="204"/>
          </rPr>
          <t>название расчетного участка</t>
        </r>
        <r>
          <rPr>
            <b/>
            <sz val="9"/>
            <color indexed="81"/>
            <rFont val="Tahoma"/>
            <charset val="1"/>
          </rPr>
          <t xml:space="preserve">.
Участок обязательно указывается в каждой строке профиля, строки с одинаковыми названием участкама объединяются в одну группу. Рекомендуется выделять каждое крупное углубление профиля в отдельный участок (наивысшие отметки в начале и конце участка, наименьшие между ними)
Пример задания параметра:
</t>
        </r>
        <r>
          <rPr>
            <b/>
            <sz val="9"/>
            <color indexed="23"/>
            <rFont val="Tahoma"/>
            <family val="2"/>
            <charset val="204"/>
          </rPr>
          <t>Левая пойма
Левая пойма
Русло
Русло
Русло
Правая пойма
Правая пойма</t>
        </r>
      </text>
    </comment>
    <comment ref="D1" authorId="1" shapeId="0" xr:uid="{79B5325F-73A6-EF46-A097-5C93738CE4BB}">
      <text>
        <r>
          <rPr>
            <b/>
            <sz val="10"/>
            <color indexed="8"/>
            <rFont val="Tahoma"/>
            <family val="2"/>
          </rPr>
          <t xml:space="preserve">Обязательный параметр </t>
        </r>
        <r>
          <rPr>
            <b/>
            <i/>
            <sz val="10"/>
            <color indexed="10"/>
            <rFont val="Tahoma"/>
            <family val="2"/>
          </rPr>
          <t>коэффициент  шероховатости участка</t>
        </r>
        <r>
          <rPr>
            <b/>
            <sz val="10"/>
            <color indexed="8"/>
            <rFont val="Tahoma"/>
            <family val="2"/>
          </rPr>
          <t xml:space="preserve">. Указывается в первой строке каждого участка по таблице Таблице Б.12 СП СП 33-101-2003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0,04
</t>
        </r>
        <r>
          <rPr>
            <b/>
            <sz val="10"/>
            <color indexed="23"/>
            <rFont val="Tahoma"/>
            <family val="2"/>
          </rPr>
          <t>0,025</t>
        </r>
      </text>
    </comment>
    <comment ref="E1" authorId="1" shapeId="0" xr:uid="{3A944EE0-3957-984E-A75E-6E49BDCC2B67}">
      <text>
        <r>
          <rPr>
            <b/>
            <sz val="10"/>
            <color indexed="8"/>
            <rFont val="Tahoma"/>
            <family val="2"/>
          </rPr>
          <t xml:space="preserve">Обязательный параметр </t>
        </r>
        <r>
          <rPr>
            <b/>
            <i/>
            <sz val="10"/>
            <color indexed="10"/>
            <rFont val="Tahoma"/>
            <family val="2"/>
          </rPr>
          <t xml:space="preserve">уклон участка </t>
        </r>
        <r>
          <rPr>
            <b/>
            <sz val="10"/>
            <color indexed="8"/>
            <rFont val="Tahoma"/>
            <family val="2"/>
          </rPr>
          <t xml:space="preserve">в промилле (‰). Указывается в первой строке каждого участка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345</t>
        </r>
        <r>
          <rPr>
            <b/>
            <sz val="10"/>
            <color indexed="23"/>
            <rFont val="Tahoma"/>
            <family val="2"/>
          </rPr>
          <t>,16</t>
        </r>
      </text>
    </comment>
    <comment ref="F1" authorId="1" shapeId="0" xr:uid="{E6F113E0-35EE-4140-8077-32E887080C6E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ситуация</t>
        </r>
        <r>
          <rPr>
            <b/>
            <sz val="10"/>
            <color indexed="8"/>
            <rFont val="Tahoma"/>
            <family val="2"/>
          </rPr>
          <t xml:space="preserve">. Для каждого участка между точками пикетажа (каждая строка профиля) может задаваться ситуация, прописываемая в подвал профиля и обозначаемая определенным цветом. Ситуация указывается текстом (луг, бетон, УВ и т. д.), строки расположенные подряд с одинаковой ситуацией объединяются в группы.
</t>
        </r>
        <r>
          <rPr>
            <b/>
            <sz val="10"/>
            <color indexed="8"/>
            <rFont val="Tahoma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 xml:space="preserve">В ситуации можно указывать бровки. Бровки указываются через запятую после указания ситуации (пример: </t>
        </r>
        <r>
          <rPr>
            <b/>
            <u/>
            <sz val="10"/>
            <color indexed="8"/>
            <rFont val="Tahoma"/>
            <family val="2"/>
          </rPr>
          <t>луг, бровка</t>
        </r>
        <r>
          <rPr>
            <b/>
            <sz val="10"/>
            <color indexed="8"/>
            <rFont val="Tahoma"/>
            <family val="2"/>
          </rPr>
          <t>). Направление бровки можно указать явно (</t>
        </r>
        <r>
          <rPr>
            <b/>
            <u/>
            <sz val="10"/>
            <color indexed="8"/>
            <rFont val="Tahoma"/>
            <family val="2"/>
          </rPr>
          <t>бровка левая</t>
        </r>
        <r>
          <rPr>
            <b/>
            <sz val="10"/>
            <color indexed="8"/>
            <rFont val="Tahoma"/>
            <family val="2"/>
          </rPr>
          <t xml:space="preserve">, </t>
        </r>
        <r>
          <rPr>
            <b/>
            <u/>
            <sz val="10"/>
            <color indexed="8"/>
            <rFont val="Tahoma"/>
            <family val="2"/>
          </rPr>
          <t>бровка правая</t>
        </r>
        <r>
          <rPr>
            <b/>
            <sz val="10"/>
            <color indexed="8"/>
            <rFont val="Tahoma"/>
            <family val="2"/>
          </rPr>
          <t>), либо оставить просто "</t>
        </r>
        <r>
          <rPr>
            <b/>
            <u/>
            <sz val="10"/>
            <color indexed="8"/>
            <rFont val="Tahoma"/>
            <family val="2"/>
          </rPr>
          <t>бровка</t>
        </r>
        <r>
          <rPr>
            <b/>
            <sz val="10"/>
            <color indexed="8"/>
            <rFont val="Tahoma"/>
            <family val="2"/>
          </rPr>
          <t xml:space="preserve">".  В этом случае направление бровки идет по порядку, первая — левая, вторая — правая, третья — левая и т. д.
</t>
        </r>
        <r>
          <rPr>
            <b/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лес
</t>
        </r>
        <r>
          <rPr>
            <b/>
            <sz val="10"/>
            <color indexed="23"/>
            <rFont val="Tahoma"/>
            <family val="2"/>
          </rPr>
          <t xml:space="preserve">лес, бровка левая
</t>
        </r>
        <r>
          <rPr>
            <b/>
            <sz val="10"/>
            <color indexed="23"/>
            <rFont val="Tahoma"/>
            <family val="2"/>
          </rPr>
          <t xml:space="preserve">УВ
УВ
</t>
        </r>
        <r>
          <rPr>
            <b/>
            <sz val="10"/>
            <color indexed="23"/>
            <rFont val="Tahoma"/>
            <family val="2"/>
          </rPr>
          <t xml:space="preserve">луг, бровка правая
</t>
        </r>
        <r>
          <rPr>
            <b/>
            <sz val="10"/>
            <color indexed="23"/>
            <rFont val="Tahoma"/>
            <family val="2"/>
          </rPr>
          <t xml:space="preserve">пашня
</t>
        </r>
        <r>
          <rPr>
            <b/>
            <sz val="10"/>
            <color indexed="23"/>
            <rFont val="Tahoma"/>
            <family val="2"/>
          </rPr>
          <t>пашня</t>
        </r>
      </text>
    </comment>
    <comment ref="G1" authorId="1" shapeId="0" xr:uid="{7E4C953D-4E00-C94B-9271-CB21190BA63C}">
      <text>
        <r>
          <rPr>
            <b/>
            <sz val="10"/>
            <color indexed="8"/>
            <rFont val="Tahoma"/>
            <family val="2"/>
          </rPr>
          <t xml:space="preserve">Обязательный параметр </t>
        </r>
        <r>
          <rPr>
            <b/>
            <i/>
            <sz val="10"/>
            <color indexed="10"/>
            <rFont val="Tahoma"/>
            <family val="2"/>
          </rPr>
          <t>обеспеченность и расходы воды</t>
        </r>
        <r>
          <rPr>
            <b/>
            <sz val="10"/>
            <color indexed="8"/>
            <rFont val="Tahoma"/>
            <family val="2"/>
          </rPr>
          <t xml:space="preserve">. Обеспеченность (первая строка) может задаваться как в численном так и в письменном виде. Из ряда обеспеченностей необходимо выбрать одну, которая будет приниматься за РУВВ (расчетный уровень воды). Выбор производится добавлением в нужную ячейку обеспеченности символа зведочка </t>
        </r>
        <r>
          <rPr>
            <b/>
            <u/>
            <sz val="10"/>
            <color indexed="8"/>
            <rFont val="Tahoma"/>
            <family val="2"/>
          </rPr>
          <t>*</t>
        </r>
        <r>
          <rPr>
            <b/>
            <sz val="10"/>
            <color indexed="8"/>
            <rFont val="Tahoma"/>
            <family val="2"/>
          </rPr>
          <t xml:space="preserve">, если РУВВ не выбран — за РУВВ принимается первая обеспеченность. Во второй строке указывается расход воды.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   0,5      1*      2         3         5     Qmax
   3,0     2,3     2,1      1,5     1,2      5,0</t>
        </r>
      </text>
    </comment>
    <comment ref="G4" authorId="1" shapeId="0" xr:uid="{0E9D4E0D-06CC-AE40-BA44-28C025F1F5E9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 xml:space="preserve"> краткое описание профиля</t>
        </r>
        <r>
          <rPr>
            <b/>
            <sz val="10"/>
            <color indexed="8"/>
            <rFont val="Tahoma"/>
            <family val="2"/>
          </rPr>
          <t xml:space="preserve">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р. Подкумок, поперечный профиль №1</t>
        </r>
      </text>
    </comment>
    <comment ref="G5" authorId="1" shapeId="0" xr:uid="{BA2C3503-E255-7F41-A5C8-206A93782408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дата сьемки поперечного профиля</t>
        </r>
        <r>
          <rPr>
            <b/>
            <sz val="10"/>
            <color indexed="8"/>
            <rFont val="Tahoma"/>
            <family val="2"/>
          </rPr>
          <t>.</t>
        </r>
        <r>
          <rPr>
            <b/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02</t>
        </r>
        <r>
          <rPr>
            <b/>
            <sz val="10"/>
            <color indexed="23"/>
            <rFont val="Tahoma"/>
            <family val="2"/>
          </rPr>
          <t>.06.2023</t>
        </r>
      </text>
    </comment>
    <comment ref="G6" authorId="1" shapeId="0" xr:uid="{EEC26115-F896-B144-8E65-D554EB9FBA23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отметка уреза воды</t>
        </r>
        <r>
          <rPr>
            <b/>
            <sz val="10"/>
            <color indexed="8"/>
            <rFont val="Tahoma"/>
            <family val="2"/>
          </rPr>
          <t xml:space="preserve">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435</t>
        </r>
        <r>
          <rPr>
            <b/>
            <sz val="10"/>
            <color indexed="23"/>
            <rFont val="Tahoma"/>
            <family val="2"/>
          </rPr>
          <t>,86</t>
        </r>
      </text>
    </comment>
    <comment ref="G7" authorId="1" shapeId="0" xr:uid="{E241A42B-40E6-684D-B5AC-962755A13289}">
      <text>
        <r>
          <rPr>
            <b/>
            <sz val="10"/>
            <color indexed="8"/>
            <rFont val="Tahoma"/>
            <family val="2"/>
          </rPr>
          <t xml:space="preserve">Обязательный параметр </t>
        </r>
        <r>
          <rPr>
            <b/>
            <i/>
            <sz val="10"/>
            <color indexed="10"/>
            <rFont val="Tahoma"/>
            <family val="2"/>
          </rPr>
          <t>расчетный шаг</t>
        </r>
        <r>
          <rPr>
            <b/>
            <sz val="10"/>
            <color indexed="10"/>
            <rFont val="Tahoma"/>
            <family val="2"/>
          </rPr>
          <t xml:space="preserve"> </t>
        </r>
        <r>
          <rPr>
            <b/>
            <sz val="10"/>
            <color indexed="8"/>
            <rFont val="Tahoma"/>
            <family val="2"/>
          </rPr>
          <t xml:space="preserve">в сантиметрах.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2
</t>
        </r>
        <r>
          <rPr>
            <b/>
            <sz val="10"/>
            <color indexed="23"/>
            <rFont val="Tahoma"/>
            <family val="2"/>
          </rPr>
          <t xml:space="preserve">5
</t>
        </r>
        <r>
          <rPr>
            <b/>
            <sz val="10"/>
            <color indexed="23"/>
            <rFont val="Tahoma"/>
            <family val="2"/>
          </rPr>
          <t>10</t>
        </r>
      </text>
    </comment>
    <comment ref="G8" authorId="1" shapeId="0" xr:uid="{C6E4F202-7B59-9445-926C-D6D87F68CDD4}">
      <text>
        <r>
          <rPr>
            <b/>
            <sz val="10"/>
            <color indexed="8"/>
            <rFont val="Tahoma"/>
            <family val="2"/>
            <charset val="204"/>
          </rPr>
          <t xml:space="preserve">Необязательный параметр </t>
        </r>
        <r>
          <rPr>
            <b/>
            <sz val="10"/>
            <color indexed="10"/>
            <rFont val="Tahoma"/>
            <family val="2"/>
            <charset val="204"/>
          </rPr>
          <t xml:space="preserve">коориданты центра профиля </t>
        </r>
        <r>
          <rPr>
            <b/>
            <sz val="10"/>
            <color indexed="8"/>
            <rFont val="Tahoma"/>
            <family val="2"/>
            <charset val="204"/>
          </rPr>
          <t xml:space="preserve">в системе </t>
        </r>
        <r>
          <rPr>
            <b/>
            <sz val="10"/>
            <color indexed="8"/>
            <rFont val="Tahoma"/>
            <family val="2"/>
            <charset val="204"/>
          </rPr>
          <t>wgs84.</t>
        </r>
        <r>
          <rPr>
            <sz val="10"/>
            <color indexed="8"/>
            <rFont val="Tahoma"/>
            <family val="2"/>
            <charset val="204"/>
          </rPr>
          <t xml:space="preserve">
</t>
        </r>
        <r>
          <rPr>
            <sz val="10"/>
            <color indexed="8"/>
            <rFont val="Tahoma"/>
            <family val="2"/>
            <charset val="204"/>
          </rPr>
          <t xml:space="preserve">
</t>
        </r>
        <r>
          <rPr>
            <b/>
            <sz val="10"/>
            <color indexed="8"/>
            <rFont val="Tahoma"/>
            <family val="2"/>
            <charset val="204"/>
          </rPr>
          <t>Пример задания параметра:</t>
        </r>
        <r>
          <rPr>
            <b/>
            <sz val="10"/>
            <color indexed="8"/>
            <rFont val="Tahoma"/>
            <family val="2"/>
            <charset val="204"/>
          </rPr>
          <t xml:space="preserve">
</t>
        </r>
        <r>
          <rPr>
            <b/>
            <sz val="10"/>
            <color indexed="23"/>
            <rFont val="Tahoma"/>
            <family val="2"/>
            <charset val="204"/>
          </rPr>
          <t>44.053692, 42.925574</t>
        </r>
      </text>
    </comment>
    <comment ref="G9" authorId="0" shapeId="0" xr:uid="{F65276D7-D2EC-6F45-9E48-AA31A6943B9C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  <charset val="204"/>
          </rPr>
          <t>отметка и ограничивающие координаты предельного размыва</t>
        </r>
        <r>
          <rPr>
            <b/>
            <sz val="10"/>
            <color indexed="8"/>
            <rFont val="Tahoma"/>
            <family val="2"/>
          </rPr>
          <t xml:space="preserve">.
При необходимости можно указать координаты </t>
        </r>
        <r>
          <rPr>
            <b/>
            <i/>
            <sz val="10"/>
            <color indexed="8"/>
            <rFont val="Tahoma"/>
            <family val="2"/>
          </rPr>
          <t>x</t>
        </r>
        <r>
          <rPr>
            <b/>
            <sz val="10"/>
            <color indexed="8"/>
            <rFont val="Tahoma"/>
            <family val="2"/>
          </rPr>
          <t xml:space="preserve"> начала и конца линии предельного размыва (для отрисовки линии). Дополнительно через запятую  указать координаты </t>
        </r>
        <r>
          <rPr>
            <b/>
            <i/>
            <sz val="10"/>
            <color indexed="8"/>
            <rFont val="Tahoma"/>
            <family val="2"/>
          </rPr>
          <t>x</t>
        </r>
        <r>
          <rPr>
            <b/>
            <sz val="10"/>
            <color indexed="8"/>
            <rFont val="Tahoma"/>
            <family val="2"/>
          </rPr>
          <t xml:space="preserve"> ограничения профиля (для отрисовки профиля), отметки поверхности будут расчитаны автоматически.
Пример задания параметра:
</t>
        </r>
        <r>
          <rPr>
            <b/>
            <sz val="10"/>
            <color indexed="23"/>
            <rFont val="Tahoma"/>
            <family val="2"/>
          </rPr>
          <t xml:space="preserve">432.68 </t>
        </r>
        <r>
          <rPr>
            <b/>
            <sz val="10"/>
            <color indexed="8"/>
            <rFont val="Tahoma"/>
            <family val="2"/>
          </rPr>
          <t xml:space="preserve">(линия по руслу)
</t>
        </r>
        <r>
          <rPr>
            <b/>
            <sz val="10"/>
            <color indexed="23"/>
            <rFont val="Tahoma"/>
            <family val="2"/>
          </rPr>
          <t xml:space="preserve">243.28, 34, 46 </t>
        </r>
        <r>
          <rPr>
            <b/>
            <sz val="10"/>
            <color indexed="8"/>
            <rFont val="Tahoma"/>
            <family val="2"/>
          </rPr>
          <t xml:space="preserve">(линия по координатам)
</t>
        </r>
        <r>
          <rPr>
            <b/>
            <sz val="10"/>
            <color indexed="23"/>
            <rFont val="Tahoma"/>
          </rPr>
          <t xml:space="preserve">243.28, 34, 46, 30, 50 </t>
        </r>
        <r>
          <rPr>
            <b/>
            <sz val="10"/>
            <color indexed="8"/>
            <rFont val="Tahoma"/>
          </rPr>
          <t xml:space="preserve">(профиль по координатам, где:
</t>
        </r>
        <r>
          <rPr>
            <b/>
            <i/>
            <sz val="10"/>
            <color indexed="55"/>
            <rFont val="Tahoma"/>
            <family val="2"/>
            <charset val="204"/>
          </rPr>
          <t xml:space="preserve">  243.28 — отметка по оси Y предельного размыва;
  34, 46  — расстояния по оси X низа трапеции размыва;
  30, 50  — расстояния по оси X  верха трапеции размыва</t>
        </r>
        <r>
          <rPr>
            <b/>
            <sz val="10"/>
            <color indexed="8"/>
            <rFont val="Tahoma"/>
          </rPr>
          <t>)</t>
        </r>
      </text>
    </comment>
    <comment ref="G10" authorId="1" shapeId="0" xr:uid="{B9FACA56-68B0-E047-99E1-56E5D4D97887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отметка низа сооружения</t>
        </r>
        <r>
          <rPr>
            <b/>
            <sz val="10"/>
            <color indexed="10"/>
            <rFont val="Tahoma"/>
            <family val="2"/>
          </rPr>
          <t xml:space="preserve"> </t>
        </r>
        <r>
          <rPr>
            <b/>
            <sz val="10"/>
            <color indexed="8"/>
            <rFont val="Tahoma"/>
            <family val="2"/>
          </rPr>
          <t xml:space="preserve">(мостового пролета, низа трубы и т. д).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235,16</t>
        </r>
      </text>
    </comment>
    <comment ref="G11" authorId="1" shapeId="0" xr:uid="{8FBE334F-22BA-454B-AE8E-F6C2AF7AA755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описание низа сооружения</t>
        </r>
        <r>
          <rPr>
            <b/>
            <sz val="10"/>
            <color indexed="8"/>
            <rFont val="Tahoma"/>
            <family val="2"/>
          </rPr>
          <t>, используется при наличии отметки низа сооружения.</t>
        </r>
        <r>
          <rPr>
            <b/>
            <sz val="10"/>
            <color indexed="10"/>
            <rFont val="Tahoma"/>
            <family val="2"/>
          </rPr>
          <t xml:space="preserve"> 
</t>
        </r>
        <r>
          <rPr>
            <b/>
            <sz val="10"/>
            <color indexed="10"/>
            <rFont val="Tahoma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Низ моста
</t>
        </r>
        <r>
          <rPr>
            <b/>
            <sz val="10"/>
            <color indexed="23"/>
            <rFont val="Tahoma"/>
            <family val="2"/>
          </rPr>
          <t>Верх трубы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Владимир С. Каменев</author>
    <author>Владимир Камене</author>
  </authors>
  <commentList>
    <comment ref="A1" authorId="0" shapeId="0" xr:uid="{67844189-F085-7743-A6E3-BC100BA69135}">
      <text>
        <r>
          <rPr>
            <b/>
            <sz val="9"/>
            <color indexed="81"/>
            <rFont val="Tahoma"/>
            <charset val="1"/>
          </rPr>
          <t>Обязательный параметр координата по оси X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 xml:space="preserve">
Пример задания параметра:
</t>
        </r>
        <r>
          <rPr>
            <b/>
            <sz val="9"/>
            <color indexed="23"/>
            <rFont val="Tahoma"/>
            <family val="2"/>
            <charset val="204"/>
          </rPr>
          <t>0
1
2,5
3,65</t>
        </r>
      </text>
    </comment>
    <comment ref="B1" authorId="0" shapeId="0" xr:uid="{735EBAFB-CFDD-6B4C-8BCF-04D8CA5AC7E7}">
      <text>
        <r>
          <rPr>
            <b/>
            <sz val="9"/>
            <color indexed="81"/>
            <rFont val="Tahoma"/>
            <charset val="1"/>
          </rPr>
          <t xml:space="preserve">Обязательный параметр координата по оси Y (отметка)
Пример задания параметра:
</t>
        </r>
        <r>
          <rPr>
            <b/>
            <sz val="9"/>
            <color indexed="23"/>
            <rFont val="Tahoma"/>
            <family val="2"/>
            <charset val="204"/>
          </rPr>
          <t>435.44
434.27
400.16</t>
        </r>
        <r>
          <rPr>
            <b/>
            <sz val="9"/>
            <color indexed="81"/>
            <rFont val="Tahoma"/>
            <charset val="1"/>
          </rPr>
          <t xml:space="preserve">
</t>
        </r>
      </text>
    </comment>
    <comment ref="C1" authorId="0" shapeId="0" xr:uid="{F1CC1FF8-30FE-7642-8745-BF43247EC2B3}">
      <text>
        <r>
          <rPr>
            <b/>
            <sz val="9"/>
            <color indexed="81"/>
            <rFont val="Tahoma"/>
            <charset val="1"/>
          </rPr>
          <t xml:space="preserve">Обязательный параметр </t>
        </r>
        <r>
          <rPr>
            <b/>
            <sz val="9"/>
            <color indexed="10"/>
            <rFont val="Tahoma"/>
            <family val="2"/>
            <charset val="204"/>
          </rPr>
          <t>название расчетного участка</t>
        </r>
        <r>
          <rPr>
            <b/>
            <sz val="9"/>
            <color indexed="81"/>
            <rFont val="Tahoma"/>
            <charset val="1"/>
          </rPr>
          <t xml:space="preserve">.
Участок обязательно указывается в каждой строке профиля, строки с одинаковыми названием участкама объединяются в одну группу. Рекомендуется выделять каждое крупное углубление профиля в отдельный участок (наивысшие отметки в начале и конце участка, наименьшие между ними)
Пример задания параметра:
</t>
        </r>
        <r>
          <rPr>
            <b/>
            <sz val="9"/>
            <color indexed="23"/>
            <rFont val="Tahoma"/>
            <family val="2"/>
            <charset val="204"/>
          </rPr>
          <t>Левая пойма
Левая пойма
Русло
Русло
Русло
Правая пойма
Правая пойма</t>
        </r>
      </text>
    </comment>
    <comment ref="D1" authorId="1" shapeId="0" xr:uid="{D440E631-93F8-E643-AA3B-1EDD60FAC5B4}">
      <text>
        <r>
          <rPr>
            <b/>
            <sz val="10"/>
            <color indexed="8"/>
            <rFont val="Tahoma"/>
            <family val="2"/>
          </rPr>
          <t xml:space="preserve">Обязательный параметр </t>
        </r>
        <r>
          <rPr>
            <b/>
            <i/>
            <sz val="10"/>
            <color indexed="10"/>
            <rFont val="Tahoma"/>
            <family val="2"/>
          </rPr>
          <t>коэффициент  шероховатости участка</t>
        </r>
        <r>
          <rPr>
            <b/>
            <sz val="10"/>
            <color indexed="8"/>
            <rFont val="Tahoma"/>
            <family val="2"/>
          </rPr>
          <t xml:space="preserve">. Указывается в первой строке каждого участка по таблице Таблице Б.12 СП СП 33-101-2003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0,04
</t>
        </r>
        <r>
          <rPr>
            <b/>
            <sz val="10"/>
            <color indexed="23"/>
            <rFont val="Tahoma"/>
            <family val="2"/>
          </rPr>
          <t>0,025</t>
        </r>
      </text>
    </comment>
    <comment ref="E1" authorId="1" shapeId="0" xr:uid="{97B712F8-46B2-3746-9C72-E6052B7F5F37}">
      <text>
        <r>
          <rPr>
            <b/>
            <sz val="10"/>
            <color indexed="8"/>
            <rFont val="Tahoma"/>
            <family val="2"/>
          </rPr>
          <t xml:space="preserve">Обязательный параметр </t>
        </r>
        <r>
          <rPr>
            <b/>
            <i/>
            <sz val="10"/>
            <color indexed="10"/>
            <rFont val="Tahoma"/>
            <family val="2"/>
          </rPr>
          <t xml:space="preserve">уклон участка </t>
        </r>
        <r>
          <rPr>
            <b/>
            <sz val="10"/>
            <color indexed="8"/>
            <rFont val="Tahoma"/>
            <family val="2"/>
          </rPr>
          <t xml:space="preserve">в промилле (‰). Указывается в первой строке каждого участка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345</t>
        </r>
        <r>
          <rPr>
            <b/>
            <sz val="10"/>
            <color indexed="23"/>
            <rFont val="Tahoma"/>
            <family val="2"/>
          </rPr>
          <t>,16</t>
        </r>
      </text>
    </comment>
    <comment ref="F1" authorId="1" shapeId="0" xr:uid="{84F82927-F6D4-B64D-9829-43A5CCC62EB0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ситуация</t>
        </r>
        <r>
          <rPr>
            <b/>
            <sz val="10"/>
            <color indexed="8"/>
            <rFont val="Tahoma"/>
            <family val="2"/>
          </rPr>
          <t xml:space="preserve">. Для каждого участка между точками пикетажа (каждая строка профиля) может задаваться ситуация, прописываемая в подвал профиля и обозначаемая определенным цветом. Ситуация указывается текстом (луг, бетон, УВ и т. д.), строки расположенные подряд с одинаковой ситуацией объединяются в группы.
</t>
        </r>
        <r>
          <rPr>
            <b/>
            <sz val="10"/>
            <color indexed="8"/>
            <rFont val="Tahoma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 xml:space="preserve">В ситуации можно указывать бровки. Бровки указываются через запятую после указания ситуации (пример: </t>
        </r>
        <r>
          <rPr>
            <b/>
            <u/>
            <sz val="10"/>
            <color indexed="8"/>
            <rFont val="Tahoma"/>
            <family val="2"/>
          </rPr>
          <t>луг, бровка</t>
        </r>
        <r>
          <rPr>
            <b/>
            <sz val="10"/>
            <color indexed="8"/>
            <rFont val="Tahoma"/>
            <family val="2"/>
          </rPr>
          <t>). Направление бровки можно указать явно (</t>
        </r>
        <r>
          <rPr>
            <b/>
            <u/>
            <sz val="10"/>
            <color indexed="8"/>
            <rFont val="Tahoma"/>
            <family val="2"/>
          </rPr>
          <t>бровка левая</t>
        </r>
        <r>
          <rPr>
            <b/>
            <sz val="10"/>
            <color indexed="8"/>
            <rFont val="Tahoma"/>
            <family val="2"/>
          </rPr>
          <t xml:space="preserve">, </t>
        </r>
        <r>
          <rPr>
            <b/>
            <u/>
            <sz val="10"/>
            <color indexed="8"/>
            <rFont val="Tahoma"/>
            <family val="2"/>
          </rPr>
          <t>бровка правая</t>
        </r>
        <r>
          <rPr>
            <b/>
            <sz val="10"/>
            <color indexed="8"/>
            <rFont val="Tahoma"/>
            <family val="2"/>
          </rPr>
          <t>), либо оставить просто "</t>
        </r>
        <r>
          <rPr>
            <b/>
            <u/>
            <sz val="10"/>
            <color indexed="8"/>
            <rFont val="Tahoma"/>
            <family val="2"/>
          </rPr>
          <t>бровка</t>
        </r>
        <r>
          <rPr>
            <b/>
            <sz val="10"/>
            <color indexed="8"/>
            <rFont val="Tahoma"/>
            <family val="2"/>
          </rPr>
          <t xml:space="preserve">".  В этом случае направление бровки идет по порядку, первая — левая, вторая — правая, третья — левая и т. д.
</t>
        </r>
        <r>
          <rPr>
            <b/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лес
</t>
        </r>
        <r>
          <rPr>
            <b/>
            <sz val="10"/>
            <color indexed="23"/>
            <rFont val="Tahoma"/>
            <family val="2"/>
          </rPr>
          <t xml:space="preserve">лес, бровка левая
</t>
        </r>
        <r>
          <rPr>
            <b/>
            <sz val="10"/>
            <color indexed="23"/>
            <rFont val="Tahoma"/>
            <family val="2"/>
          </rPr>
          <t xml:space="preserve">УВ
УВ
</t>
        </r>
        <r>
          <rPr>
            <b/>
            <sz val="10"/>
            <color indexed="23"/>
            <rFont val="Tahoma"/>
            <family val="2"/>
          </rPr>
          <t xml:space="preserve">луг, бровка правая
</t>
        </r>
        <r>
          <rPr>
            <b/>
            <sz val="10"/>
            <color indexed="23"/>
            <rFont val="Tahoma"/>
            <family val="2"/>
          </rPr>
          <t xml:space="preserve">пашня
</t>
        </r>
        <r>
          <rPr>
            <b/>
            <sz val="10"/>
            <color indexed="23"/>
            <rFont val="Tahoma"/>
            <family val="2"/>
          </rPr>
          <t>пашня</t>
        </r>
      </text>
    </comment>
    <comment ref="G1" authorId="1" shapeId="0" xr:uid="{BC3FC8CB-E884-394F-B32B-DBF26D0980C0}">
      <text>
        <r>
          <rPr>
            <b/>
            <sz val="10"/>
            <color indexed="8"/>
            <rFont val="Tahoma"/>
            <family val="2"/>
          </rPr>
          <t xml:space="preserve">Обязательный параметр </t>
        </r>
        <r>
          <rPr>
            <b/>
            <i/>
            <sz val="10"/>
            <color indexed="10"/>
            <rFont val="Tahoma"/>
            <family val="2"/>
          </rPr>
          <t>обеспеченность и расходы воды</t>
        </r>
        <r>
          <rPr>
            <b/>
            <sz val="10"/>
            <color indexed="8"/>
            <rFont val="Tahoma"/>
            <family val="2"/>
          </rPr>
          <t xml:space="preserve">. Обеспеченность (первая строка) может задаваться как в численном так и в письменном виде. Из ряда обеспеченностей необходимо выбрать одну, которая будет приниматься за РУВВ (расчетный уровень воды). Выбор производится добавлением в нужную ячейку обеспеченности символа зведочка </t>
        </r>
        <r>
          <rPr>
            <b/>
            <u/>
            <sz val="10"/>
            <color indexed="8"/>
            <rFont val="Tahoma"/>
            <family val="2"/>
          </rPr>
          <t>*</t>
        </r>
        <r>
          <rPr>
            <b/>
            <sz val="10"/>
            <color indexed="8"/>
            <rFont val="Tahoma"/>
            <family val="2"/>
          </rPr>
          <t xml:space="preserve">, если РУВВ не выбран — за РУВВ принимается первая обеспеченность. Во второй строке указывается расход воды.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   0,5      1*      2         3         5     Qmax
   3,0     2,3     2,1      1,5     1,2      5,0</t>
        </r>
      </text>
    </comment>
    <comment ref="G4" authorId="1" shapeId="0" xr:uid="{CE550742-A1D9-C94A-8FAB-1403F30016B8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 xml:space="preserve"> краткое описание профиля</t>
        </r>
        <r>
          <rPr>
            <b/>
            <sz val="10"/>
            <color indexed="8"/>
            <rFont val="Tahoma"/>
            <family val="2"/>
          </rPr>
          <t xml:space="preserve">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р. Подкумок, поперечный профиль №1</t>
        </r>
      </text>
    </comment>
    <comment ref="G5" authorId="1" shapeId="0" xr:uid="{7F4A6E7B-8B66-3C4A-A881-FE381F5CAB85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дата сьемки поперечного профиля</t>
        </r>
        <r>
          <rPr>
            <b/>
            <sz val="10"/>
            <color indexed="8"/>
            <rFont val="Tahoma"/>
            <family val="2"/>
          </rPr>
          <t>.</t>
        </r>
        <r>
          <rPr>
            <b/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02</t>
        </r>
        <r>
          <rPr>
            <b/>
            <sz val="10"/>
            <color indexed="23"/>
            <rFont val="Tahoma"/>
            <family val="2"/>
          </rPr>
          <t>.06.2023</t>
        </r>
      </text>
    </comment>
    <comment ref="G6" authorId="1" shapeId="0" xr:uid="{60315F0A-5E7B-BA40-A1EC-3CF47E3F84C0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отметка уреза воды</t>
        </r>
        <r>
          <rPr>
            <b/>
            <sz val="10"/>
            <color indexed="8"/>
            <rFont val="Tahoma"/>
            <family val="2"/>
          </rPr>
          <t xml:space="preserve">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435</t>
        </r>
        <r>
          <rPr>
            <b/>
            <sz val="10"/>
            <color indexed="23"/>
            <rFont val="Tahoma"/>
            <family val="2"/>
          </rPr>
          <t>,86</t>
        </r>
      </text>
    </comment>
    <comment ref="G7" authorId="1" shapeId="0" xr:uid="{6E73D0B8-E8E4-0346-8E16-24A758B9FFF7}">
      <text>
        <r>
          <rPr>
            <b/>
            <sz val="10"/>
            <color indexed="8"/>
            <rFont val="Tahoma"/>
            <family val="2"/>
          </rPr>
          <t xml:space="preserve">Обязательный параметр </t>
        </r>
        <r>
          <rPr>
            <b/>
            <i/>
            <sz val="10"/>
            <color indexed="10"/>
            <rFont val="Tahoma"/>
            <family val="2"/>
          </rPr>
          <t>расчетный шаг</t>
        </r>
        <r>
          <rPr>
            <b/>
            <sz val="10"/>
            <color indexed="10"/>
            <rFont val="Tahoma"/>
            <family val="2"/>
          </rPr>
          <t xml:space="preserve"> </t>
        </r>
        <r>
          <rPr>
            <b/>
            <sz val="10"/>
            <color indexed="8"/>
            <rFont val="Tahoma"/>
            <family val="2"/>
          </rPr>
          <t xml:space="preserve">в сантиметрах.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2
</t>
        </r>
        <r>
          <rPr>
            <b/>
            <sz val="10"/>
            <color indexed="23"/>
            <rFont val="Tahoma"/>
            <family val="2"/>
          </rPr>
          <t xml:space="preserve">5
</t>
        </r>
        <r>
          <rPr>
            <b/>
            <sz val="10"/>
            <color indexed="23"/>
            <rFont val="Tahoma"/>
            <family val="2"/>
          </rPr>
          <t>10</t>
        </r>
      </text>
    </comment>
    <comment ref="G8" authorId="1" shapeId="0" xr:uid="{4C7E4476-73A2-384D-9989-F08F6469ED91}">
      <text>
        <r>
          <rPr>
            <b/>
            <sz val="10"/>
            <color indexed="8"/>
            <rFont val="Tahoma"/>
            <family val="2"/>
            <charset val="204"/>
          </rPr>
          <t xml:space="preserve">Необязательный параметр </t>
        </r>
        <r>
          <rPr>
            <b/>
            <sz val="10"/>
            <color indexed="10"/>
            <rFont val="Tahoma"/>
            <family val="2"/>
            <charset val="204"/>
          </rPr>
          <t xml:space="preserve">коориданты центра профиля </t>
        </r>
        <r>
          <rPr>
            <b/>
            <sz val="10"/>
            <color indexed="8"/>
            <rFont val="Tahoma"/>
            <family val="2"/>
            <charset val="204"/>
          </rPr>
          <t xml:space="preserve">в системе </t>
        </r>
        <r>
          <rPr>
            <b/>
            <sz val="10"/>
            <color indexed="8"/>
            <rFont val="Tahoma"/>
            <family val="2"/>
            <charset val="204"/>
          </rPr>
          <t>wgs84.</t>
        </r>
        <r>
          <rPr>
            <sz val="10"/>
            <color indexed="8"/>
            <rFont val="Tahoma"/>
            <family val="2"/>
            <charset val="204"/>
          </rPr>
          <t xml:space="preserve">
</t>
        </r>
        <r>
          <rPr>
            <sz val="10"/>
            <color indexed="8"/>
            <rFont val="Tahoma"/>
            <family val="2"/>
            <charset val="204"/>
          </rPr>
          <t xml:space="preserve">
</t>
        </r>
        <r>
          <rPr>
            <b/>
            <sz val="10"/>
            <color indexed="8"/>
            <rFont val="Tahoma"/>
            <family val="2"/>
            <charset val="204"/>
          </rPr>
          <t>Пример задания параметра:</t>
        </r>
        <r>
          <rPr>
            <b/>
            <sz val="10"/>
            <color indexed="8"/>
            <rFont val="Tahoma"/>
            <family val="2"/>
            <charset val="204"/>
          </rPr>
          <t xml:space="preserve">
</t>
        </r>
        <r>
          <rPr>
            <b/>
            <sz val="10"/>
            <color indexed="23"/>
            <rFont val="Tahoma"/>
            <family val="2"/>
            <charset val="204"/>
          </rPr>
          <t>44.053692, 42.925574</t>
        </r>
      </text>
    </comment>
    <comment ref="G9" authorId="0" shapeId="0" xr:uid="{6FEF9207-ABD8-EE40-9005-925B778CE6AA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  <charset val="204"/>
          </rPr>
          <t>отметка и ограничивающие координаты предельного размыва</t>
        </r>
        <r>
          <rPr>
            <b/>
            <sz val="10"/>
            <color indexed="8"/>
            <rFont val="Tahoma"/>
            <family val="2"/>
          </rPr>
          <t xml:space="preserve">.
При необходимости можно указать координаты </t>
        </r>
        <r>
          <rPr>
            <b/>
            <i/>
            <sz val="10"/>
            <color indexed="8"/>
            <rFont val="Tahoma"/>
            <family val="2"/>
          </rPr>
          <t>x</t>
        </r>
        <r>
          <rPr>
            <b/>
            <sz val="10"/>
            <color indexed="8"/>
            <rFont val="Tahoma"/>
            <family val="2"/>
          </rPr>
          <t xml:space="preserve"> начала и конца линии предельного размыва (для отрисовки линии). Дополнительно через запятую  указать координаты </t>
        </r>
        <r>
          <rPr>
            <b/>
            <i/>
            <sz val="10"/>
            <color indexed="8"/>
            <rFont val="Tahoma"/>
            <family val="2"/>
          </rPr>
          <t>x</t>
        </r>
        <r>
          <rPr>
            <b/>
            <sz val="10"/>
            <color indexed="8"/>
            <rFont val="Tahoma"/>
            <family val="2"/>
          </rPr>
          <t xml:space="preserve"> ограничения профиля (для отрисовки профиля), отметки поверхности будут расчитаны автоматически.
Пример задания параметра:
</t>
        </r>
        <r>
          <rPr>
            <b/>
            <sz val="10"/>
            <color indexed="23"/>
            <rFont val="Tahoma"/>
            <family val="2"/>
          </rPr>
          <t xml:space="preserve">432.68 </t>
        </r>
        <r>
          <rPr>
            <b/>
            <sz val="10"/>
            <color indexed="8"/>
            <rFont val="Tahoma"/>
            <family val="2"/>
          </rPr>
          <t xml:space="preserve">(линия по руслу)
</t>
        </r>
        <r>
          <rPr>
            <b/>
            <sz val="10"/>
            <color indexed="23"/>
            <rFont val="Tahoma"/>
            <family val="2"/>
          </rPr>
          <t xml:space="preserve">243.28, 34, 46 </t>
        </r>
        <r>
          <rPr>
            <b/>
            <sz val="10"/>
            <color indexed="8"/>
            <rFont val="Tahoma"/>
            <family val="2"/>
          </rPr>
          <t xml:space="preserve">(линия по координатам)
</t>
        </r>
        <r>
          <rPr>
            <b/>
            <sz val="10"/>
            <color indexed="23"/>
            <rFont val="Tahoma"/>
          </rPr>
          <t xml:space="preserve">243.28, 34, 46, 30, 50 </t>
        </r>
        <r>
          <rPr>
            <b/>
            <sz val="10"/>
            <color indexed="8"/>
            <rFont val="Tahoma"/>
          </rPr>
          <t xml:space="preserve">(профиль по координатам, где:
</t>
        </r>
        <r>
          <rPr>
            <b/>
            <i/>
            <sz val="10"/>
            <color indexed="55"/>
            <rFont val="Tahoma"/>
            <family val="2"/>
            <charset val="204"/>
          </rPr>
          <t xml:space="preserve">  243.28 — отметка по оси Y предельного размыва;
  34, 46  — расстояния по оси X низа трапеции размыва;
  30, 50  — расстояния по оси X  верха трапеции размыва</t>
        </r>
        <r>
          <rPr>
            <b/>
            <sz val="10"/>
            <color indexed="8"/>
            <rFont val="Tahoma"/>
          </rPr>
          <t>)</t>
        </r>
      </text>
    </comment>
    <comment ref="G10" authorId="1" shapeId="0" xr:uid="{2F2E4027-797A-4B46-8026-2461EF5FAB20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отметка низа сооружения</t>
        </r>
        <r>
          <rPr>
            <b/>
            <sz val="10"/>
            <color indexed="10"/>
            <rFont val="Tahoma"/>
            <family val="2"/>
          </rPr>
          <t xml:space="preserve"> </t>
        </r>
        <r>
          <rPr>
            <b/>
            <sz val="10"/>
            <color indexed="8"/>
            <rFont val="Tahoma"/>
            <family val="2"/>
          </rPr>
          <t xml:space="preserve">(мостового пролета, низа трубы и т. д).
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>235,16</t>
        </r>
      </text>
    </comment>
    <comment ref="G11" authorId="1" shapeId="0" xr:uid="{37F1A848-DF8C-8A49-9DEE-5BE38B33765A}">
      <text>
        <r>
          <rPr>
            <b/>
            <sz val="10"/>
            <color indexed="8"/>
            <rFont val="Tahoma"/>
            <family val="2"/>
          </rPr>
          <t xml:space="preserve">Необязательный параметр </t>
        </r>
        <r>
          <rPr>
            <b/>
            <i/>
            <sz val="10"/>
            <color indexed="10"/>
            <rFont val="Tahoma"/>
            <family val="2"/>
          </rPr>
          <t>описание низа сооружения</t>
        </r>
        <r>
          <rPr>
            <b/>
            <sz val="10"/>
            <color indexed="8"/>
            <rFont val="Tahoma"/>
            <family val="2"/>
          </rPr>
          <t>, используется при наличии отметки низа сооружения.</t>
        </r>
        <r>
          <rPr>
            <b/>
            <sz val="10"/>
            <color indexed="10"/>
            <rFont val="Tahoma"/>
            <family val="2"/>
          </rPr>
          <t xml:space="preserve"> 
</t>
        </r>
        <r>
          <rPr>
            <b/>
            <sz val="10"/>
            <color indexed="10"/>
            <rFont val="Tahoma"/>
            <family val="2"/>
          </rPr>
          <t xml:space="preserve">
</t>
        </r>
        <r>
          <rPr>
            <b/>
            <sz val="10"/>
            <color indexed="8"/>
            <rFont val="Tahoma"/>
            <family val="2"/>
          </rPr>
          <t>Пример задания параметра:</t>
        </r>
        <r>
          <rPr>
            <sz val="10"/>
            <color indexed="8"/>
            <rFont val="Calibri"/>
            <family val="2"/>
          </rPr>
          <t xml:space="preserve">
</t>
        </r>
        <r>
          <rPr>
            <b/>
            <sz val="10"/>
            <color indexed="23"/>
            <rFont val="Tahoma"/>
            <family val="2"/>
          </rPr>
          <t xml:space="preserve">Низ моста
</t>
        </r>
        <r>
          <rPr>
            <b/>
            <sz val="10"/>
            <color indexed="23"/>
            <rFont val="Tahoma"/>
            <family val="2"/>
          </rPr>
          <t>Верх трубы</t>
        </r>
      </text>
    </comment>
  </commentList>
</comments>
</file>

<file path=xl/sharedStrings.xml><?xml version="1.0" encoding="utf-8"?>
<sst xmlns="http://schemas.openxmlformats.org/spreadsheetml/2006/main" count="84" uniqueCount="39">
  <si>
    <t>ПК</t>
  </si>
  <si>
    <t>ОТМ</t>
  </si>
  <si>
    <t>Участок</t>
  </si>
  <si>
    <t>n</t>
  </si>
  <si>
    <t>i</t>
  </si>
  <si>
    <t>Обеспеченность</t>
  </si>
  <si>
    <t>Ситуация</t>
  </si>
  <si>
    <t>Левая пойма</t>
  </si>
  <si>
    <t>Правая пойма</t>
  </si>
  <si>
    <t>Русло</t>
  </si>
  <si>
    <t>44.052558, 42.920113</t>
  </si>
  <si>
    <t>луг</t>
  </si>
  <si>
    <t>бетон, бровка</t>
  </si>
  <si>
    <t>бетон</t>
  </si>
  <si>
    <t>луг, бровка</t>
  </si>
  <si>
    <t>01.02.2020</t>
  </si>
  <si>
    <t>Пример поперечного профиля №1</t>
  </si>
  <si>
    <t>44.053692, 42.925574</t>
  </si>
  <si>
    <t>Пример поперечного профиля №2</t>
  </si>
  <si>
    <t>Низ моста</t>
  </si>
  <si>
    <t>01.04.2020</t>
  </si>
  <si>
    <t>бетон, бровка левая</t>
  </si>
  <si>
    <t>луг, бровка правая</t>
  </si>
  <si>
    <t>УВ</t>
  </si>
  <si>
    <t>бетон, бровка правая</t>
  </si>
  <si>
    <t>1*</t>
  </si>
  <si>
    <t>-0.2, 2, 7, 0.8, 8.2</t>
  </si>
  <si>
    <t xml:space="preserve">Описание:   </t>
  </si>
  <si>
    <t xml:space="preserve">Дата:   </t>
  </si>
  <si>
    <t xml:space="preserve">Отм. уреза:   </t>
  </si>
  <si>
    <t xml:space="preserve">Расчётный шаг:   </t>
  </si>
  <si>
    <t xml:space="preserve">Координаты:   </t>
  </si>
  <si>
    <t xml:space="preserve">Предел размыва:   </t>
  </si>
  <si>
    <t xml:space="preserve">Низ сооружния:   </t>
  </si>
  <si>
    <t xml:space="preserve">Описание низа сооружения:   </t>
  </si>
  <si>
    <t>x</t>
  </si>
  <si>
    <t>y</t>
  </si>
  <si>
    <t>разбор координат</t>
  </si>
  <si>
    <t>ЛИНИЯ ППР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</si>
</sst>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"/>
  </numFmts>
  <fonts count="24" x14ac:knownFonts="1">
    <font>
      <sz val="11"/>
      <color theme="1"/>
      <name val="Calibri"/>
      <family val="2"/>
      <charset val="204"/>
      <scheme val="minor"/>
    </font>
    <font>
      <sz val="10"/>
      <color indexed="8"/>
      <name val="Tahoma"/>
      <family val="2"/>
      <charset val="204"/>
    </font>
    <font>
      <b/>
      <sz val="10"/>
      <color indexed="8"/>
      <name val="Tahoma"/>
      <family val="2"/>
      <charset val="204"/>
    </font>
    <font>
      <b/>
      <sz val="10"/>
      <color indexed="8"/>
      <name val="Tahoma"/>
      <family val="2"/>
    </font>
    <font>
      <sz val="10"/>
      <color indexed="8"/>
      <name val="Calibri"/>
      <family val="2"/>
    </font>
    <font>
      <b/>
      <i/>
      <sz val="10"/>
      <color indexed="10"/>
      <name val="Tahoma"/>
      <family val="2"/>
    </font>
    <font>
      <b/>
      <sz val="10"/>
      <color indexed="10"/>
      <name val="Tahoma"/>
      <family val="2"/>
    </font>
    <font>
      <b/>
      <sz val="10"/>
      <color indexed="23"/>
      <name val="Tahoma"/>
      <family val="2"/>
    </font>
    <font>
      <b/>
      <sz val="10"/>
      <color indexed="10"/>
      <name val="Tahoma"/>
      <family val="2"/>
      <charset val="204"/>
    </font>
    <font>
      <b/>
      <sz val="10"/>
      <color indexed="23"/>
      <name val="Tahoma"/>
      <family val="2"/>
      <charset val="204"/>
    </font>
    <font>
      <b/>
      <u/>
      <sz val="10"/>
      <color indexed="8"/>
      <name val="Tahoma"/>
      <family val="2"/>
    </font>
    <font>
      <b/>
      <i/>
      <sz val="10"/>
      <color indexed="10"/>
      <name val="Tahoma"/>
      <family val="2"/>
      <charset val="204"/>
    </font>
    <font>
      <b/>
      <i/>
      <sz val="10"/>
      <color indexed="8"/>
      <name val="Tahoma"/>
      <family val="2"/>
    </font>
    <font>
      <b/>
      <sz val="10"/>
      <color indexed="23"/>
      <name val="Tahoma"/>
    </font>
    <font>
      <b/>
      <sz val="10"/>
      <color indexed="8"/>
      <name val="Tahoma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  <charset val="204"/>
    </font>
    <font>
      <b/>
      <sz val="9"/>
      <color indexed="23"/>
      <name val="Tahoma"/>
      <family val="2"/>
      <charset val="204"/>
    </font>
    <font>
      <b/>
      <sz val="9"/>
      <color indexed="10"/>
      <name val="Tahoma"/>
      <family val="2"/>
      <charset val="204"/>
    </font>
    <font>
      <b/>
      <i/>
      <sz val="10"/>
      <color indexed="55"/>
      <name val="Tahoma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2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2" fontId="0" fillId="0" borderId="0" xfId="0" applyNumberFormat="1"/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22" fillId="0" borderId="0" xfId="0" applyFon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65" fontId="0" fillId="0" borderId="0" xfId="0" applyNumberFormat="1"/>
    <xf numFmtId="0" fontId="21" fillId="0" borderId="0" xfId="0" applyFont="1"/>
    <xf numFmtId="0" fontId="23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NumberFormat="1" applyFont="1"/>
    <xf numFmtId="2" fontId="21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</cellXfs>
  <cellStyles count="1">
    <cellStyle name="Обычный" xfId="0" builtinId="0"/>
  </cellStyles>
  <dxfs count="19"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ill>
        <patternFill>
          <bgColor rgb="FFEBF0FA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ill>
        <patternFill>
          <bgColor rgb="FFF1FAFF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</font>
      <fill>
        <patternFill>
          <bgColor theme="4" tint="0.39994506668294322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Исходные данные" pivot="0" count="3" xr9:uid="{413D29FE-4722-3C42-9BC0-A579D6B200C5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4"/>
            <c:spPr>
              <a:solidFill>
                <a:schemeClr val="bg1"/>
              </a:solidFill>
              <a:ln w="19050">
                <a:solidFill>
                  <a:schemeClr val="accent6">
                    <a:lumMod val="50000"/>
                  </a:schemeClr>
                </a:solidFill>
              </a:ln>
            </c:spPr>
          </c:marker>
          <c:xVal>
            <c:numRef>
              <c:f>'1'!$A$2:$A$96</c:f>
              <c:numCache>
                <c:formatCode>General</c:formatCode>
                <c:ptCount val="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'1'!$B$2:$B$96</c:f>
              <c:numCache>
                <c:formatCode>General</c:formatCode>
                <c:ptCount val="9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B9-7C43-919D-3FE999DC28C6}"/>
            </c:ext>
          </c:extLst>
        </c:ser>
        <c:ser>
          <c:idx val="1"/>
          <c:order val="1"/>
          <c:tx>
            <c:v>УВ</c:v>
          </c:tx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'1'!$F$33:$F$34</c:f>
              <c:numCache>
                <c:formatCode>General</c:formatCode>
                <c:ptCount val="2"/>
              </c:numCache>
            </c:numRef>
          </c:xVal>
          <c:yVal>
            <c:numRef>
              <c:f>'1'!$G$33:$G$34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B9-7C43-919D-3FE999DC28C6}"/>
            </c:ext>
          </c:extLst>
        </c:ser>
        <c:ser>
          <c:idx val="2"/>
          <c:order val="2"/>
          <c:tx>
            <c:v>ППР</c:v>
          </c:tx>
          <c:spPr>
            <a:ln>
              <a:solidFill>
                <a:srgbClr val="EE0000"/>
              </a:solidFill>
              <a:prstDash val="sysDash"/>
            </a:ln>
          </c:spPr>
          <c:marker>
            <c:symbol val="none"/>
          </c:marker>
          <c:xVal>
            <c:numRef>
              <c:f>'1'!$V$13:$V$16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'1'!$W$13:$W$16</c:f>
              <c:numCache>
                <c:formatCode>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B9-7C43-919D-3FE999DC28C6}"/>
            </c:ext>
          </c:extLst>
        </c:ser>
        <c:ser>
          <c:idx val="3"/>
          <c:order val="3"/>
          <c:tx>
            <c:v>УВ2</c:v>
          </c:tx>
          <c:xVal>
            <c:numRef>
              <c:f>'1'!$Y$13:$Y$14</c:f>
              <c:numCache>
                <c:formatCode>General</c:formatCode>
                <c:ptCount val="2"/>
              </c:numCache>
            </c:numRef>
          </c:xVal>
          <c:yVal>
            <c:numRef>
              <c:f>'1'!$Z$13:$Z$14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B9-7C43-919D-3FE999DC2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899760"/>
        <c:axId val="1"/>
      </c:scatterChart>
      <c:valAx>
        <c:axId val="8898997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  <a:prstDash val="dash"/>
            </a:ln>
          </c:spPr>
        </c:minorGridlines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  <a:prstDash val="dash"/>
            </a:ln>
          </c:spPr>
        </c:minorGridlines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88989976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accent6">
                  <a:lumMod val="50000"/>
                </a:schemeClr>
              </a:solidFill>
            </a:ln>
          </c:spPr>
          <c:marker>
            <c:symbol val="circle"/>
            <c:size val="4"/>
            <c:spPr>
              <a:solidFill>
                <a:schemeClr val="bg1"/>
              </a:solidFill>
              <a:ln w="19050">
                <a:solidFill>
                  <a:schemeClr val="accent6">
                    <a:lumMod val="50000"/>
                  </a:schemeClr>
                </a:solidFill>
              </a:ln>
            </c:spPr>
          </c:marker>
          <c:xVal>
            <c:numRef>
              <c:f>'2'!$A$2:$A$96</c:f>
              <c:numCache>
                <c:formatCode>General</c:formatCode>
                <c:ptCount val="9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</c:numCache>
            </c:numRef>
          </c:xVal>
          <c:yVal>
            <c:numRef>
              <c:f>'2'!$B$2:$B$96</c:f>
              <c:numCache>
                <c:formatCode>General</c:formatCode>
                <c:ptCount val="9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B-684B-AA71-47C9DD017CE5}"/>
            </c:ext>
          </c:extLst>
        </c:ser>
        <c:ser>
          <c:idx val="1"/>
          <c:order val="1"/>
          <c:tx>
            <c:v>УВ</c:v>
          </c:tx>
          <c:spPr>
            <a:ln w="127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'2'!$F$33:$F$34</c:f>
              <c:numCache>
                <c:formatCode>General</c:formatCode>
                <c:ptCount val="2"/>
              </c:numCache>
            </c:numRef>
          </c:xVal>
          <c:yVal>
            <c:numRef>
              <c:f>'2'!$G$33:$G$34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2B-684B-AA71-47C9DD017CE5}"/>
            </c:ext>
          </c:extLst>
        </c:ser>
        <c:ser>
          <c:idx val="2"/>
          <c:order val="2"/>
          <c:tx>
            <c:v>ППР</c:v>
          </c:tx>
          <c:spPr>
            <a:ln>
              <a:solidFill>
                <a:srgbClr val="EE0000"/>
              </a:solidFill>
              <a:prstDash val="sysDash"/>
            </a:ln>
          </c:spPr>
          <c:marker>
            <c:symbol val="none"/>
          </c:marker>
          <c:xVal>
            <c:numRef>
              <c:f>'2'!$V$13:$V$16</c:f>
              <c:numCache>
                <c:formatCode>0.00</c:formatCode>
                <c:ptCount val="4"/>
                <c:pt idx="0">
                  <c:v>0.8</c:v>
                </c:pt>
                <c:pt idx="1">
                  <c:v>2</c:v>
                </c:pt>
                <c:pt idx="2">
                  <c:v>7</c:v>
                </c:pt>
                <c:pt idx="3">
                  <c:v>8.1999999999999993</c:v>
                </c:pt>
              </c:numCache>
            </c:numRef>
          </c:xVal>
          <c:yVal>
            <c:numRef>
              <c:f>'2'!$W$13:$W$16</c:f>
              <c:numCache>
                <c:formatCode>0.00</c:formatCode>
                <c:ptCount val="4"/>
                <c:pt idx="0">
                  <c:v>2</c:v>
                </c:pt>
                <c:pt idx="1">
                  <c:v>-0.2</c:v>
                </c:pt>
                <c:pt idx="2">
                  <c:v>-0.2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2B-684B-AA71-47C9DD017CE5}"/>
            </c:ext>
          </c:extLst>
        </c:ser>
        <c:ser>
          <c:idx val="3"/>
          <c:order val="3"/>
          <c:tx>
            <c:v>УВ2</c:v>
          </c:tx>
          <c:xVal>
            <c:numRef>
              <c:f>'2'!$Y$13:$Y$14</c:f>
              <c:numCache>
                <c:formatCode>General</c:formatCode>
                <c:ptCount val="2"/>
              </c:numCache>
            </c:numRef>
          </c:xVal>
          <c:yVal>
            <c:numRef>
              <c:f>'2'!$Z$13:$Z$14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2B-684B-AA71-47C9DD017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950576"/>
        <c:axId val="1"/>
      </c:scatterChart>
      <c:valAx>
        <c:axId val="8899505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  <a:prstDash val="dash"/>
            </a:ln>
          </c:spPr>
        </c:minorGridlines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  <a:prstDash val="dash"/>
            </a:ln>
          </c:spPr>
        </c:minorGridlines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88995057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12</xdr:row>
      <xdr:rowOff>63500</xdr:rowOff>
    </xdr:from>
    <xdr:to>
      <xdr:col>19</xdr:col>
      <xdr:colOff>698500</xdr:colOff>
      <xdr:row>36</xdr:row>
      <xdr:rowOff>12700</xdr:rowOff>
    </xdr:to>
    <xdr:graphicFrame macro="">
      <xdr:nvGraphicFramePr>
        <xdr:cNvPr id="867346" name="Диаграмма 1">
          <a:extLst>
            <a:ext uri="{FF2B5EF4-FFF2-40B4-BE49-F238E27FC236}">
              <a16:creationId xmlns:a16="http://schemas.microsoft.com/office/drawing/2014/main" id="{40F06887-3ECE-D2D4-81E2-DC1B0071C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12</xdr:row>
      <xdr:rowOff>63500</xdr:rowOff>
    </xdr:from>
    <xdr:to>
      <xdr:col>19</xdr:col>
      <xdr:colOff>698500</xdr:colOff>
      <xdr:row>36</xdr:row>
      <xdr:rowOff>12700</xdr:rowOff>
    </xdr:to>
    <xdr:graphicFrame macro="">
      <xdr:nvGraphicFramePr>
        <xdr:cNvPr id="828452" name="Диаграмма 1">
          <a:extLst>
            <a:ext uri="{FF2B5EF4-FFF2-40B4-BE49-F238E27FC236}">
              <a16:creationId xmlns:a16="http://schemas.microsoft.com/office/drawing/2014/main" id="{E70C954B-8943-4821-B09B-A59DD8CE4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2053EDD-01AE-0543-BB5C-CA39D0E6D2F0}" name="Таблица26515" displayName="Таблица26515" ref="A1:F251" totalsRowShown="0" headerRowDxfId="9" dataDxfId="8">
  <autoFilter ref="A1:F251" xr:uid="{991858F5-50D4-7C41-8727-2779ED0C05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ПК" dataDxfId="15"/>
    <tableColumn id="2" xr3:uid="{00000000-0010-0000-0100-000002000000}" name="ОТМ" dataDxfId="14"/>
    <tableColumn id="3" xr3:uid="{00000000-0010-0000-0100-000003000000}" name="Участок" dataDxfId="13"/>
    <tableColumn id="4" xr3:uid="{00000000-0010-0000-0100-000004000000}" name="n" dataDxfId="12"/>
    <tableColumn id="5" xr3:uid="{00000000-0010-0000-0100-000005000000}" name="i" dataDxfId="11"/>
    <tableColumn id="6" xr3:uid="{00000000-0010-0000-0100-000006000000}" name="Ситуация" dataDxfId="10"/>
  </tableColumns>
  <tableStyleInfo name="Исходные данные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59E945-6691-7847-8214-FB39033AA17E}" name="Таблица265" displayName="Таблица265" ref="A1:F251" totalsRowShown="0" headerRowDxfId="1" dataDxfId="0">
  <autoFilter ref="A1:F251" xr:uid="{184BB015-FB43-6A4B-B7B2-97E80F5367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300-000001000000}" name="ПК" dataDxfId="7"/>
    <tableColumn id="2" xr3:uid="{00000000-0010-0000-0300-000002000000}" name="ОТМ" dataDxfId="6"/>
    <tableColumn id="3" xr3:uid="{00000000-0010-0000-0300-000003000000}" name="Участок" dataDxfId="5"/>
    <tableColumn id="4" xr3:uid="{00000000-0010-0000-0300-000004000000}" name="n" dataDxfId="4"/>
    <tableColumn id="5" xr3:uid="{00000000-0010-0000-0300-000005000000}" name="i" dataDxfId="3"/>
    <tableColumn id="6" xr3:uid="{00000000-0010-0000-0300-000006000000}" name="Ситуация" dataDxfId="2"/>
  </tableColumns>
  <tableStyleInfo name="Исходные данные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5BBF-6282-8E40-A312-A3AFE2252ED2}">
  <dimension ref="A1:Z251"/>
  <sheetViews>
    <sheetView showGridLines="0" tabSelected="1" zoomScaleNormal="100" workbookViewId="0">
      <selection activeCell="D8" sqref="D8"/>
    </sheetView>
  </sheetViews>
  <sheetFormatPr baseColWidth="10" defaultColWidth="11.5" defaultRowHeight="15" x14ac:dyDescent="0.2"/>
  <cols>
    <col min="1" max="2" width="8.83203125" customWidth="1"/>
    <col min="3" max="3" width="17.5" customWidth="1"/>
    <col min="4" max="5" width="8.83203125" customWidth="1"/>
    <col min="6" max="6" width="21.6640625" customWidth="1"/>
    <col min="7" max="7" width="11.5" customWidth="1"/>
    <col min="8" max="8" width="13.83203125" customWidth="1"/>
    <col min="9" max="9" width="11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3" t="s">
        <v>5</v>
      </c>
      <c r="H1" s="23"/>
      <c r="I1" s="23"/>
      <c r="J1" s="23"/>
      <c r="K1" s="23"/>
      <c r="L1" s="2"/>
    </row>
    <row r="2" spans="1:26" x14ac:dyDescent="0.2">
      <c r="A2" s="6">
        <v>0</v>
      </c>
      <c r="B2" s="6">
        <v>1</v>
      </c>
      <c r="C2" s="6" t="s">
        <v>7</v>
      </c>
      <c r="D2" s="6">
        <v>0.04</v>
      </c>
      <c r="E2" s="6">
        <v>1.5</v>
      </c>
      <c r="F2" s="6" t="s">
        <v>11</v>
      </c>
      <c r="G2" s="8">
        <v>0.5</v>
      </c>
      <c r="H2" s="8" t="s">
        <v>25</v>
      </c>
      <c r="I2" s="8">
        <v>3</v>
      </c>
      <c r="J2" s="8">
        <v>5</v>
      </c>
      <c r="K2" s="8">
        <v>10</v>
      </c>
      <c r="L2" s="8"/>
      <c r="M2" s="8"/>
      <c r="N2" s="8"/>
      <c r="O2" s="8"/>
      <c r="P2" s="8"/>
      <c r="Q2" s="8"/>
      <c r="R2" s="8"/>
    </row>
    <row r="3" spans="1:26" x14ac:dyDescent="0.2">
      <c r="A3" s="6">
        <v>1</v>
      </c>
      <c r="B3" s="6">
        <v>1</v>
      </c>
      <c r="C3" s="6" t="s">
        <v>9</v>
      </c>
      <c r="D3" s="6">
        <v>2.5000000000000001E-2</v>
      </c>
      <c r="E3" s="6">
        <v>1.5</v>
      </c>
      <c r="F3" s="6" t="s">
        <v>12</v>
      </c>
      <c r="G3" s="9">
        <v>1</v>
      </c>
      <c r="H3" s="9">
        <v>0.8</v>
      </c>
      <c r="I3" s="9">
        <v>0.6</v>
      </c>
      <c r="J3" s="9">
        <v>0.4</v>
      </c>
      <c r="K3" s="9">
        <v>0.2</v>
      </c>
      <c r="L3" s="9"/>
      <c r="M3" s="9"/>
      <c r="N3" s="9"/>
      <c r="O3" s="9"/>
      <c r="P3" s="9"/>
      <c r="Q3" s="9"/>
      <c r="R3" s="9"/>
    </row>
    <row r="4" spans="1:26" x14ac:dyDescent="0.2">
      <c r="A4" s="6">
        <v>2</v>
      </c>
      <c r="B4" s="6">
        <v>0</v>
      </c>
      <c r="C4" s="6" t="s">
        <v>9</v>
      </c>
      <c r="D4" s="6"/>
      <c r="E4" s="6"/>
      <c r="F4" s="6" t="s">
        <v>13</v>
      </c>
      <c r="G4" s="24" t="s">
        <v>27</v>
      </c>
      <c r="H4" s="24"/>
      <c r="I4" s="10" t="s">
        <v>16</v>
      </c>
      <c r="J4" s="3"/>
      <c r="K4" s="3"/>
      <c r="L4" s="3"/>
      <c r="M4" s="2"/>
      <c r="N4" s="2"/>
    </row>
    <row r="5" spans="1:26" x14ac:dyDescent="0.2">
      <c r="A5" s="6">
        <v>3</v>
      </c>
      <c r="B5" s="6">
        <v>0</v>
      </c>
      <c r="C5" s="6" t="s">
        <v>9</v>
      </c>
      <c r="D5" s="6"/>
      <c r="E5" s="6"/>
      <c r="F5" s="6" t="s">
        <v>13</v>
      </c>
      <c r="G5" s="24" t="s">
        <v>28</v>
      </c>
      <c r="H5" s="24"/>
      <c r="I5" s="11" t="s">
        <v>15</v>
      </c>
      <c r="J5" s="4"/>
      <c r="K5" s="4"/>
      <c r="L5" s="4"/>
      <c r="M5" s="2"/>
      <c r="N5" s="2"/>
    </row>
    <row r="6" spans="1:26" x14ac:dyDescent="0.2">
      <c r="A6" s="6">
        <v>4</v>
      </c>
      <c r="B6" s="6">
        <v>1</v>
      </c>
      <c r="C6" s="6" t="s">
        <v>8</v>
      </c>
      <c r="D6" s="6">
        <v>0.04</v>
      </c>
      <c r="E6" s="6">
        <v>1.5</v>
      </c>
      <c r="F6" s="6" t="s">
        <v>14</v>
      </c>
      <c r="G6" s="20" t="s">
        <v>29</v>
      </c>
      <c r="H6" s="20"/>
      <c r="I6" s="12">
        <v>0.5</v>
      </c>
    </row>
    <row r="7" spans="1:26" x14ac:dyDescent="0.2">
      <c r="A7" s="6">
        <v>5</v>
      </c>
      <c r="B7" s="6">
        <v>1</v>
      </c>
      <c r="C7" s="6" t="s">
        <v>8</v>
      </c>
      <c r="D7" s="6"/>
      <c r="E7" s="6"/>
      <c r="F7" s="6" t="s">
        <v>11</v>
      </c>
      <c r="G7" s="20" t="s">
        <v>30</v>
      </c>
      <c r="H7" s="20"/>
      <c r="I7" s="12">
        <v>2</v>
      </c>
    </row>
    <row r="8" spans="1:26" x14ac:dyDescent="0.2">
      <c r="A8" s="6"/>
      <c r="B8" s="6"/>
      <c r="C8" s="6"/>
      <c r="D8" s="6"/>
      <c r="E8" s="6"/>
      <c r="F8" s="6"/>
      <c r="G8" s="20" t="s">
        <v>31</v>
      </c>
      <c r="H8" s="20"/>
      <c r="I8" s="12" t="s">
        <v>10</v>
      </c>
    </row>
    <row r="9" spans="1:26" x14ac:dyDescent="0.2">
      <c r="A9" s="6"/>
      <c r="B9" s="6"/>
      <c r="C9" s="6"/>
      <c r="D9" s="6"/>
      <c r="E9" s="6"/>
      <c r="F9" s="6"/>
      <c r="G9" s="20" t="s">
        <v>32</v>
      </c>
      <c r="H9" s="20"/>
      <c r="I9" s="13"/>
    </row>
    <row r="10" spans="1:26" x14ac:dyDescent="0.2">
      <c r="A10" s="6"/>
      <c r="B10" s="6"/>
      <c r="C10" s="6"/>
      <c r="D10" s="6"/>
      <c r="E10" s="6"/>
      <c r="F10" s="6"/>
      <c r="G10" s="20" t="s">
        <v>33</v>
      </c>
      <c r="H10" s="20"/>
      <c r="I10" s="12"/>
    </row>
    <row r="11" spans="1:26" x14ac:dyDescent="0.2">
      <c r="A11" s="6"/>
      <c r="B11" s="6"/>
      <c r="C11" s="6"/>
      <c r="D11" s="6"/>
      <c r="E11" s="6"/>
      <c r="F11" s="6"/>
      <c r="G11" s="20" t="s">
        <v>34</v>
      </c>
      <c r="H11" s="20"/>
      <c r="I11" s="12"/>
      <c r="U11" s="21" t="s">
        <v>38</v>
      </c>
      <c r="V11" s="21"/>
      <c r="W11" s="21"/>
      <c r="X11" s="22"/>
      <c r="Y11" s="22"/>
      <c r="Z11" s="22"/>
    </row>
    <row r="12" spans="1:26" x14ac:dyDescent="0.2">
      <c r="A12" s="6"/>
      <c r="B12" s="6"/>
      <c r="C12" s="6"/>
      <c r="D12" s="6"/>
      <c r="E12" s="6"/>
      <c r="F12" s="6"/>
      <c r="U12" s="15" t="s">
        <v>37</v>
      </c>
      <c r="V12" s="16" t="s">
        <v>35</v>
      </c>
      <c r="W12" s="16" t="s">
        <v>36</v>
      </c>
      <c r="Y12" s="1"/>
      <c r="Z12" s="1"/>
    </row>
    <row r="13" spans="1:26" x14ac:dyDescent="0.2">
      <c r="A13" s="6"/>
      <c r="B13" s="6"/>
      <c r="C13" s="6"/>
      <c r="D13" s="6"/>
      <c r="E13" s="6"/>
      <c r="F13" s="6"/>
      <c r="U13" s="15" t="e">
        <f>VALUE(TRIM(LEFTB(I9, SEARCH(",",I9)-1)))</f>
        <v>#VALUE!</v>
      </c>
      <c r="V13" s="17" t="e">
        <f>U16</f>
        <v>#VALUE!</v>
      </c>
      <c r="W13" s="17" t="e">
        <f>IFERROR(INDEX(B:B, MATCH(V13, A:A, 1)) +
((V13 - INDEX(A:A, MATCH(V13, A:A, 1))) *
(INDEX(B:B, MATCH(V13, A:A, 1) + 1) - INDEX(B:B, MATCH(V13, A:A, 1))) /
(INDEX(A:A, MATCH(V13, A:A, 1) + 1) - INDEX(A:A, MATCH(V13, A:A, 1)))), #N/A)</f>
        <v>#N/A</v>
      </c>
      <c r="Z13" s="14"/>
    </row>
    <row r="14" spans="1:26" x14ac:dyDescent="0.2">
      <c r="A14" s="6"/>
      <c r="B14" s="6"/>
      <c r="C14" s="6"/>
      <c r="D14" s="6"/>
      <c r="E14" s="6"/>
      <c r="F14" s="6"/>
      <c r="U14" s="18" t="e">
        <f>VALUE(TRIM(MID(I9, SEARCH(",",I9)+1, SEARCH(",",I9, SEARCH(",",I9)+1)-SEARCH(",",I9)-1)))</f>
        <v>#VALUE!</v>
      </c>
      <c r="V14" s="17" t="e">
        <f>VALUE(U14)</f>
        <v>#VALUE!</v>
      </c>
      <c r="W14" s="17" t="e">
        <f>IFERROR(VALUE(U13), #N/A)</f>
        <v>#N/A</v>
      </c>
    </row>
    <row r="15" spans="1:26" x14ac:dyDescent="0.2">
      <c r="A15" s="6"/>
      <c r="B15" s="7"/>
      <c r="C15" s="6"/>
      <c r="D15" s="6"/>
      <c r="E15" s="6"/>
      <c r="F15" s="6"/>
      <c r="U15" s="15" t="e">
        <f>VALUE(TRIM(MID($I$9, SEARCH(",", $I$9, SEARCH(",", $I$9) + 1) + 1, IFERROR(SEARCH(",", $I$9, SEARCH(",", $I$9, SEARCH(",", $I$9) + 1) + 1) - SEARCH(",", $I$9, SEARCH(",", $I$9) + 1) - 1, LEN($I$9)))))</f>
        <v>#VALUE!</v>
      </c>
      <c r="V15" s="17" t="e">
        <f>VALUE(U15)</f>
        <v>#VALUE!</v>
      </c>
      <c r="W15" s="17" t="e">
        <f>IFERROR(VALUE(U13), #N/A)</f>
        <v>#N/A</v>
      </c>
    </row>
    <row r="16" spans="1:26" x14ac:dyDescent="0.2">
      <c r="A16" s="6"/>
      <c r="B16" s="7"/>
      <c r="C16" s="6"/>
      <c r="D16" s="6"/>
      <c r="E16" s="6"/>
      <c r="F16" s="6"/>
      <c r="U16" s="15" t="e">
        <f>VALUE(TRIM(MID($I$9, SEARCH(",", $I$9, SEARCH(",", $I$9, SEARCH(",", $I$9) + 1) + 1) + 1, IFERROR(SEARCH(",", $I$9, SEARCH(",", $I$9, SEARCH(",", $I$9, SEARCH(",", $I$9) + 1) + 1) + 1) - SEARCH(",", $I$9, SEARCH(",", $I$9, SEARCH(",", $I$9) + 1) + 1) - 1, LEN($I$9)))))</f>
        <v>#VALUE!</v>
      </c>
      <c r="V16" s="17" t="e">
        <f>VALUE(U17)</f>
        <v>#VALUE!</v>
      </c>
      <c r="W16" s="17" t="e">
        <f>IFERROR(INDEX(B:B, MATCH(V16, A:A, 1)) +
((V16 - INDEX(A:A, MATCH(V16, A:A, 1))) *
(INDEX(B:B, MATCH(V16, A:A, 1) + 1) - INDEX(B:B, MATCH(V16, A:A, 1))) /
(INDEX(A:A, MATCH(V16, A:A, 1) + 1) - INDEX(A:A, MATCH(V16, A:A, 1)))), #N/A)</f>
        <v>#N/A</v>
      </c>
    </row>
    <row r="17" spans="1:23" x14ac:dyDescent="0.2">
      <c r="A17" s="6"/>
      <c r="B17" s="7"/>
      <c r="C17" s="6"/>
      <c r="D17" s="6"/>
      <c r="E17" s="6"/>
      <c r="F17" s="6"/>
      <c r="U17" s="19" t="e">
        <f>TRIM(MID($I$9, SEARCH(",", $I$9, SEARCH(",", $I$9, SEARCH(",", $I$9, SEARCH(",", $I$9) + 1) + 1) + 1) + 1, IFERROR(SEARCH(",", $I$9, SEARCH(",", $I$9, SEARCH(",", $I$9, SEARCH(",", $I$9, SEARCH(",", $I$9) + 1) + 1) + 1) + 1) - SEARCH(",", $I$9, SEARCH(",", $I$9, SEARCH(",", $I$9, SEARCH(",", $I$9) + 1) + 1) + 1) - 1, LEN($I$9))))</f>
        <v>#VALUE!</v>
      </c>
      <c r="V17" s="15"/>
      <c r="W17" s="15"/>
    </row>
    <row r="18" spans="1:23" x14ac:dyDescent="0.2">
      <c r="A18" s="6"/>
      <c r="B18" s="7"/>
      <c r="C18" s="6"/>
      <c r="D18" s="6"/>
      <c r="E18" s="6"/>
      <c r="F18" s="6"/>
    </row>
    <row r="19" spans="1:23" x14ac:dyDescent="0.2">
      <c r="A19" s="6"/>
      <c r="B19" s="7"/>
      <c r="C19" s="6"/>
      <c r="D19" s="6"/>
      <c r="E19" s="6"/>
      <c r="F19" s="6"/>
    </row>
    <row r="20" spans="1:23" x14ac:dyDescent="0.2">
      <c r="A20" s="6"/>
      <c r="B20" s="7"/>
      <c r="C20" s="6"/>
      <c r="D20" s="6"/>
      <c r="E20" s="6"/>
      <c r="F20" s="6"/>
    </row>
    <row r="21" spans="1:23" x14ac:dyDescent="0.2">
      <c r="A21" s="6"/>
      <c r="B21" s="7"/>
      <c r="C21" s="6"/>
      <c r="D21" s="6"/>
      <c r="E21" s="6"/>
      <c r="F21" s="6"/>
    </row>
    <row r="22" spans="1:23" x14ac:dyDescent="0.2">
      <c r="A22" s="6"/>
      <c r="B22" s="7"/>
      <c r="C22" s="6"/>
      <c r="D22" s="6"/>
      <c r="E22" s="6"/>
      <c r="F22" s="6"/>
    </row>
    <row r="23" spans="1:23" x14ac:dyDescent="0.2">
      <c r="A23" s="6"/>
      <c r="B23" s="7"/>
      <c r="C23" s="6"/>
      <c r="D23" s="6"/>
      <c r="E23" s="6"/>
      <c r="F23" s="6"/>
    </row>
    <row r="24" spans="1:23" x14ac:dyDescent="0.2">
      <c r="A24" s="6"/>
      <c r="B24" s="7"/>
      <c r="C24" s="6"/>
      <c r="D24" s="6"/>
      <c r="E24" s="6"/>
      <c r="F24" s="6"/>
    </row>
    <row r="25" spans="1:23" x14ac:dyDescent="0.2">
      <c r="A25" s="6"/>
      <c r="B25" s="7"/>
      <c r="C25" s="6"/>
      <c r="D25" s="6"/>
      <c r="E25" s="6"/>
      <c r="F25" s="6"/>
    </row>
    <row r="26" spans="1:23" x14ac:dyDescent="0.2">
      <c r="A26" s="6"/>
      <c r="B26" s="7"/>
      <c r="C26" s="6"/>
      <c r="D26" s="6"/>
      <c r="E26" s="6"/>
      <c r="F26" s="6"/>
    </row>
    <row r="27" spans="1:23" x14ac:dyDescent="0.2">
      <c r="A27" s="6"/>
      <c r="B27" s="7"/>
      <c r="C27" s="6"/>
      <c r="D27" s="6"/>
      <c r="E27" s="6"/>
      <c r="F27" s="6"/>
    </row>
    <row r="28" spans="1:23" x14ac:dyDescent="0.2">
      <c r="A28" s="6"/>
      <c r="B28" s="7"/>
      <c r="C28" s="6"/>
      <c r="D28" s="6"/>
      <c r="E28" s="6"/>
      <c r="F28" s="6"/>
    </row>
    <row r="29" spans="1:23" x14ac:dyDescent="0.2">
      <c r="A29" s="6"/>
      <c r="B29" s="7"/>
      <c r="C29" s="6"/>
      <c r="D29" s="6"/>
      <c r="E29" s="6"/>
      <c r="F29" s="6"/>
    </row>
    <row r="30" spans="1:23" x14ac:dyDescent="0.2">
      <c r="A30" s="6"/>
      <c r="B30" s="7"/>
      <c r="C30" s="6"/>
      <c r="D30" s="6"/>
      <c r="E30" s="6"/>
      <c r="F30" s="6"/>
    </row>
    <row r="31" spans="1:23" x14ac:dyDescent="0.2">
      <c r="A31" s="6"/>
      <c r="B31" s="7"/>
      <c r="C31" s="6"/>
      <c r="D31" s="6"/>
      <c r="E31" s="6"/>
      <c r="F31" s="6"/>
    </row>
    <row r="32" spans="1:23" x14ac:dyDescent="0.2">
      <c r="A32" s="6"/>
      <c r="B32" s="7"/>
      <c r="C32" s="6"/>
      <c r="D32" s="6"/>
      <c r="E32" s="6"/>
      <c r="F32" s="6"/>
    </row>
    <row r="33" spans="1:7" x14ac:dyDescent="0.2">
      <c r="A33" s="6"/>
      <c r="B33" s="7"/>
      <c r="C33" s="6"/>
      <c r="D33" s="6"/>
      <c r="E33" s="6"/>
      <c r="F33" s="6"/>
    </row>
    <row r="34" spans="1:7" x14ac:dyDescent="0.2">
      <c r="A34" s="6"/>
      <c r="B34" s="7"/>
      <c r="C34" s="6"/>
      <c r="D34" s="6"/>
      <c r="E34" s="6"/>
      <c r="F34" s="6"/>
    </row>
    <row r="35" spans="1:7" x14ac:dyDescent="0.2">
      <c r="A35" s="6"/>
      <c r="B35" s="6"/>
      <c r="C35" s="6"/>
      <c r="D35" s="6"/>
      <c r="E35" s="6"/>
      <c r="F35" s="6"/>
    </row>
    <row r="36" spans="1:7" x14ac:dyDescent="0.2">
      <c r="A36" s="6"/>
      <c r="B36" s="6"/>
      <c r="C36" s="6"/>
      <c r="D36" s="6"/>
      <c r="E36" s="6"/>
      <c r="F36" s="6"/>
    </row>
    <row r="37" spans="1:7" x14ac:dyDescent="0.2">
      <c r="A37" s="6"/>
      <c r="B37" s="6"/>
      <c r="C37" s="6"/>
      <c r="D37" s="6"/>
      <c r="E37" s="6"/>
      <c r="F37" s="6"/>
    </row>
    <row r="38" spans="1:7" x14ac:dyDescent="0.2">
      <c r="A38" s="6"/>
      <c r="B38" s="6"/>
      <c r="C38" s="6"/>
      <c r="D38" s="6"/>
      <c r="E38" s="6"/>
      <c r="F38" s="6"/>
    </row>
    <row r="39" spans="1:7" x14ac:dyDescent="0.2">
      <c r="A39" s="6"/>
      <c r="B39" s="6"/>
      <c r="C39" s="6"/>
      <c r="D39" s="6"/>
      <c r="E39" s="6"/>
      <c r="F39" s="6"/>
    </row>
    <row r="40" spans="1:7" x14ac:dyDescent="0.2">
      <c r="A40" s="6"/>
      <c r="B40" s="6"/>
      <c r="C40" s="6"/>
      <c r="D40" s="6"/>
      <c r="E40" s="6"/>
      <c r="F40" s="6"/>
    </row>
    <row r="41" spans="1:7" x14ac:dyDescent="0.2">
      <c r="A41" s="6"/>
      <c r="B41" s="6"/>
      <c r="C41" s="6"/>
      <c r="D41" s="6"/>
      <c r="E41" s="6"/>
      <c r="F41" s="6"/>
    </row>
    <row r="42" spans="1:7" x14ac:dyDescent="0.2">
      <c r="A42" s="6"/>
      <c r="B42" s="6"/>
      <c r="C42" s="6"/>
      <c r="D42" s="6"/>
      <c r="E42" s="6"/>
      <c r="F42" s="6"/>
    </row>
    <row r="43" spans="1:7" x14ac:dyDescent="0.2">
      <c r="A43" s="6"/>
      <c r="B43" s="6"/>
      <c r="C43" s="6"/>
      <c r="D43" s="6"/>
      <c r="E43" s="6"/>
      <c r="F43" s="6"/>
    </row>
    <row r="44" spans="1:7" x14ac:dyDescent="0.2">
      <c r="A44" s="6"/>
      <c r="B44" s="6"/>
      <c r="C44" s="6"/>
      <c r="D44" s="6"/>
      <c r="E44" s="6"/>
      <c r="F44" s="6"/>
      <c r="G44" s="5"/>
    </row>
    <row r="45" spans="1:7" x14ac:dyDescent="0.2">
      <c r="A45" s="6"/>
      <c r="B45" s="6"/>
      <c r="C45" s="6"/>
      <c r="D45" s="6"/>
      <c r="E45" s="6"/>
      <c r="F45" s="6"/>
      <c r="G45" s="5"/>
    </row>
    <row r="46" spans="1:7" x14ac:dyDescent="0.2">
      <c r="A46" s="6"/>
      <c r="B46" s="6"/>
      <c r="C46" s="6"/>
      <c r="D46" s="6"/>
      <c r="E46" s="6"/>
      <c r="F46" s="6"/>
      <c r="G46" s="5"/>
    </row>
    <row r="47" spans="1:7" x14ac:dyDescent="0.2">
      <c r="A47" s="6"/>
      <c r="B47" s="6"/>
      <c r="C47" s="6"/>
      <c r="D47" s="6"/>
      <c r="E47" s="6"/>
      <c r="F47" s="6"/>
      <c r="G47" s="5"/>
    </row>
    <row r="48" spans="1:7" x14ac:dyDescent="0.2">
      <c r="A48" s="6"/>
      <c r="B48" s="6"/>
      <c r="C48" s="6"/>
      <c r="D48" s="6"/>
      <c r="E48" s="6"/>
      <c r="F48" s="6"/>
      <c r="G48" s="5"/>
    </row>
    <row r="49" spans="1:7" x14ac:dyDescent="0.2">
      <c r="A49" s="6"/>
      <c r="B49" s="6"/>
      <c r="C49" s="6"/>
      <c r="D49" s="6"/>
      <c r="E49" s="6"/>
      <c r="F49" s="6"/>
      <c r="G49" s="5"/>
    </row>
    <row r="50" spans="1:7" x14ac:dyDescent="0.2">
      <c r="A50" s="6"/>
      <c r="B50" s="6"/>
      <c r="C50" s="6"/>
      <c r="D50" s="6"/>
      <c r="E50" s="6"/>
      <c r="F50" s="6"/>
      <c r="G50" s="5"/>
    </row>
    <row r="51" spans="1:7" x14ac:dyDescent="0.2">
      <c r="A51" s="6"/>
      <c r="B51" s="6"/>
      <c r="C51" s="6"/>
      <c r="D51" s="6"/>
      <c r="E51" s="6"/>
      <c r="F51" s="6"/>
      <c r="G51" s="5"/>
    </row>
    <row r="52" spans="1:7" x14ac:dyDescent="0.2">
      <c r="A52" s="6"/>
      <c r="B52" s="6"/>
      <c r="C52" s="6"/>
      <c r="D52" s="6"/>
      <c r="E52" s="6"/>
      <c r="F52" s="6"/>
      <c r="G52" s="5"/>
    </row>
    <row r="53" spans="1:7" x14ac:dyDescent="0.2">
      <c r="A53" s="6"/>
      <c r="B53" s="6"/>
      <c r="C53" s="6"/>
      <c r="D53" s="6"/>
      <c r="E53" s="6"/>
      <c r="F53" s="6"/>
      <c r="G53" s="5"/>
    </row>
    <row r="54" spans="1:7" x14ac:dyDescent="0.2">
      <c r="A54" s="6"/>
      <c r="B54" s="6"/>
      <c r="C54" s="6"/>
      <c r="D54" s="6"/>
      <c r="E54" s="6"/>
      <c r="F54" s="6"/>
      <c r="G54" s="5"/>
    </row>
    <row r="55" spans="1:7" x14ac:dyDescent="0.2">
      <c r="A55" s="6"/>
      <c r="B55" s="6"/>
      <c r="C55" s="6"/>
      <c r="D55" s="6"/>
      <c r="E55" s="6"/>
      <c r="F55" s="6"/>
      <c r="G55" s="5"/>
    </row>
    <row r="56" spans="1:7" x14ac:dyDescent="0.2">
      <c r="A56" s="6"/>
      <c r="B56" s="6"/>
      <c r="C56" s="6"/>
      <c r="D56" s="6"/>
      <c r="E56" s="6"/>
      <c r="F56" s="6"/>
      <c r="G56" s="5"/>
    </row>
    <row r="57" spans="1:7" x14ac:dyDescent="0.2">
      <c r="A57" s="6"/>
      <c r="B57" s="6"/>
      <c r="C57" s="6"/>
      <c r="D57" s="6"/>
      <c r="E57" s="6"/>
      <c r="F57" s="6"/>
      <c r="G57" s="5"/>
    </row>
    <row r="58" spans="1:7" x14ac:dyDescent="0.2">
      <c r="A58" s="6"/>
      <c r="B58" s="6"/>
      <c r="C58" s="6"/>
      <c r="D58" s="6"/>
      <c r="E58" s="6"/>
      <c r="F58" s="6"/>
      <c r="G58" s="5"/>
    </row>
    <row r="59" spans="1:7" x14ac:dyDescent="0.2">
      <c r="A59" s="6"/>
      <c r="B59" s="6"/>
      <c r="C59" s="6"/>
      <c r="D59" s="6"/>
      <c r="E59" s="6"/>
      <c r="F59" s="6"/>
      <c r="G59" s="5"/>
    </row>
    <row r="60" spans="1:7" x14ac:dyDescent="0.2">
      <c r="A60" s="6"/>
      <c r="B60" s="6"/>
      <c r="C60" s="6"/>
      <c r="D60" s="6"/>
      <c r="E60" s="6"/>
      <c r="F60" s="6"/>
      <c r="G60" s="5"/>
    </row>
    <row r="61" spans="1:7" x14ac:dyDescent="0.2">
      <c r="A61" s="6"/>
      <c r="B61" s="6"/>
      <c r="C61" s="6"/>
      <c r="D61" s="6"/>
      <c r="E61" s="6"/>
      <c r="F61" s="6"/>
      <c r="G61" s="5"/>
    </row>
    <row r="62" spans="1:7" x14ac:dyDescent="0.2">
      <c r="A62" s="6"/>
      <c r="B62" s="6"/>
      <c r="C62" s="6"/>
      <c r="D62" s="6"/>
      <c r="E62" s="6"/>
      <c r="F62" s="6"/>
      <c r="G62" s="5"/>
    </row>
    <row r="63" spans="1:7" x14ac:dyDescent="0.2">
      <c r="A63" s="6"/>
      <c r="B63" s="6"/>
      <c r="C63" s="6"/>
      <c r="D63" s="6"/>
      <c r="E63" s="6"/>
      <c r="F63" s="6"/>
      <c r="G63" s="5"/>
    </row>
    <row r="64" spans="1:7" x14ac:dyDescent="0.2">
      <c r="A64" s="6"/>
      <c r="B64" s="6"/>
      <c r="C64" s="6"/>
      <c r="D64" s="6"/>
      <c r="E64" s="6"/>
      <c r="F64" s="6"/>
      <c r="G64" s="5"/>
    </row>
    <row r="65" spans="1:7" x14ac:dyDescent="0.2">
      <c r="A65" s="6"/>
      <c r="B65" s="6"/>
      <c r="C65" s="6"/>
      <c r="D65" s="6"/>
      <c r="E65" s="6"/>
      <c r="F65" s="6"/>
      <c r="G65" s="5"/>
    </row>
    <row r="66" spans="1:7" x14ac:dyDescent="0.2">
      <c r="A66" s="6"/>
      <c r="B66" s="6"/>
      <c r="C66" s="6"/>
      <c r="D66" s="6"/>
      <c r="E66" s="6"/>
      <c r="F66" s="6"/>
      <c r="G66" s="5"/>
    </row>
    <row r="67" spans="1:7" x14ac:dyDescent="0.2">
      <c r="A67" s="6"/>
      <c r="B67" s="6"/>
      <c r="C67" s="6"/>
      <c r="D67" s="6"/>
      <c r="E67" s="6"/>
      <c r="F67" s="6"/>
      <c r="G67" s="5"/>
    </row>
    <row r="68" spans="1:7" x14ac:dyDescent="0.2">
      <c r="A68" s="6"/>
      <c r="B68" s="6"/>
      <c r="C68" s="6"/>
      <c r="D68" s="6"/>
      <c r="E68" s="6"/>
      <c r="F68" s="6"/>
      <c r="G68" s="5"/>
    </row>
    <row r="69" spans="1:7" x14ac:dyDescent="0.2">
      <c r="A69" s="6"/>
      <c r="B69" s="6"/>
      <c r="C69" s="6"/>
      <c r="D69" s="6"/>
      <c r="E69" s="6"/>
      <c r="F69" s="6"/>
      <c r="G69" s="5"/>
    </row>
    <row r="70" spans="1:7" x14ac:dyDescent="0.2">
      <c r="A70" s="6"/>
      <c r="B70" s="6"/>
      <c r="C70" s="6"/>
      <c r="D70" s="6"/>
      <c r="E70" s="6"/>
      <c r="F70" s="6"/>
      <c r="G70" s="5"/>
    </row>
    <row r="71" spans="1:7" x14ac:dyDescent="0.2">
      <c r="A71" s="6"/>
      <c r="B71" s="6"/>
      <c r="C71" s="6"/>
      <c r="D71" s="6"/>
      <c r="E71" s="6"/>
      <c r="F71" s="6"/>
      <c r="G71" s="5"/>
    </row>
    <row r="72" spans="1:7" x14ac:dyDescent="0.2">
      <c r="A72" s="6"/>
      <c r="B72" s="6"/>
      <c r="C72" s="6"/>
      <c r="D72" s="6"/>
      <c r="E72" s="6"/>
      <c r="F72" s="6"/>
      <c r="G72" s="5"/>
    </row>
    <row r="73" spans="1:7" x14ac:dyDescent="0.2">
      <c r="A73" s="6"/>
      <c r="B73" s="6"/>
      <c r="C73" s="6"/>
      <c r="D73" s="6"/>
      <c r="E73" s="6"/>
      <c r="F73" s="6"/>
      <c r="G73" s="5"/>
    </row>
    <row r="74" spans="1:7" x14ac:dyDescent="0.2">
      <c r="A74" s="6"/>
      <c r="B74" s="6"/>
      <c r="C74" s="6"/>
      <c r="D74" s="6"/>
      <c r="E74" s="6"/>
      <c r="F74" s="6"/>
      <c r="G74" s="5"/>
    </row>
    <row r="75" spans="1:7" x14ac:dyDescent="0.2">
      <c r="A75" s="6"/>
      <c r="B75" s="6"/>
      <c r="C75" s="6"/>
      <c r="D75" s="6"/>
      <c r="E75" s="6"/>
      <c r="F75" s="6"/>
      <c r="G75" s="5"/>
    </row>
    <row r="76" spans="1:7" x14ac:dyDescent="0.2">
      <c r="A76" s="6"/>
      <c r="B76" s="6"/>
      <c r="C76" s="6"/>
      <c r="D76" s="6"/>
      <c r="E76" s="6"/>
      <c r="F76" s="6"/>
      <c r="G76" s="5"/>
    </row>
    <row r="77" spans="1:7" x14ac:dyDescent="0.2">
      <c r="A77" s="6"/>
      <c r="B77" s="6"/>
      <c r="C77" s="6"/>
      <c r="D77" s="6"/>
      <c r="E77" s="6"/>
      <c r="F77" s="6"/>
      <c r="G77" s="5"/>
    </row>
    <row r="78" spans="1:7" x14ac:dyDescent="0.2">
      <c r="A78" s="6"/>
      <c r="B78" s="6"/>
      <c r="C78" s="6"/>
      <c r="D78" s="6"/>
      <c r="E78" s="6"/>
      <c r="F78" s="6"/>
      <c r="G78" s="5"/>
    </row>
    <row r="79" spans="1:7" x14ac:dyDescent="0.2">
      <c r="A79" s="6"/>
      <c r="B79" s="6"/>
      <c r="C79" s="6"/>
      <c r="D79" s="6"/>
      <c r="E79" s="6"/>
      <c r="F79" s="6"/>
      <c r="G79" s="5"/>
    </row>
    <row r="80" spans="1:7" x14ac:dyDescent="0.2">
      <c r="A80" s="6"/>
      <c r="B80" s="6"/>
      <c r="C80" s="6"/>
      <c r="D80" s="6"/>
      <c r="E80" s="6"/>
      <c r="F80" s="6"/>
      <c r="G80" s="5"/>
    </row>
    <row r="81" spans="1:7" x14ac:dyDescent="0.2">
      <c r="A81" s="6"/>
      <c r="B81" s="6"/>
      <c r="C81" s="6"/>
      <c r="D81" s="6"/>
      <c r="E81" s="6"/>
      <c r="F81" s="6"/>
      <c r="G81" s="5"/>
    </row>
    <row r="82" spans="1:7" x14ac:dyDescent="0.2">
      <c r="A82" s="6"/>
      <c r="B82" s="6"/>
      <c r="C82" s="6"/>
      <c r="D82" s="6"/>
      <c r="E82" s="6"/>
      <c r="F82" s="6"/>
      <c r="G82" s="5"/>
    </row>
    <row r="83" spans="1:7" x14ac:dyDescent="0.2">
      <c r="A83" s="6"/>
      <c r="B83" s="6"/>
      <c r="C83" s="6"/>
      <c r="D83" s="6"/>
      <c r="E83" s="6"/>
      <c r="F83" s="6"/>
      <c r="G83" s="5"/>
    </row>
    <row r="84" spans="1:7" x14ac:dyDescent="0.2">
      <c r="A84" s="6"/>
      <c r="B84" s="6"/>
      <c r="C84" s="6"/>
      <c r="D84" s="6"/>
      <c r="E84" s="6"/>
      <c r="F84" s="6"/>
      <c r="G84" s="5"/>
    </row>
    <row r="85" spans="1:7" x14ac:dyDescent="0.2">
      <c r="A85" s="6"/>
      <c r="B85" s="6"/>
      <c r="C85" s="6"/>
      <c r="D85" s="6"/>
      <c r="E85" s="6"/>
      <c r="F85" s="6"/>
      <c r="G85" s="5"/>
    </row>
    <row r="86" spans="1:7" x14ac:dyDescent="0.2">
      <c r="A86" s="6"/>
      <c r="B86" s="6"/>
      <c r="C86" s="6"/>
      <c r="D86" s="6"/>
      <c r="E86" s="6"/>
      <c r="F86" s="6"/>
      <c r="G86" s="5"/>
    </row>
    <row r="87" spans="1:7" x14ac:dyDescent="0.2">
      <c r="A87" s="6"/>
      <c r="B87" s="6"/>
      <c r="C87" s="6"/>
      <c r="D87" s="6"/>
      <c r="E87" s="6"/>
      <c r="F87" s="6"/>
      <c r="G87" s="5"/>
    </row>
    <row r="88" spans="1:7" x14ac:dyDescent="0.2">
      <c r="A88" s="6"/>
      <c r="B88" s="6"/>
      <c r="C88" s="6"/>
      <c r="D88" s="6"/>
      <c r="E88" s="6"/>
      <c r="F88" s="6"/>
      <c r="G88" s="5"/>
    </row>
    <row r="89" spans="1:7" x14ac:dyDescent="0.2">
      <c r="A89" s="6"/>
      <c r="B89" s="6"/>
      <c r="C89" s="6"/>
      <c r="D89" s="6"/>
      <c r="E89" s="6"/>
      <c r="F89" s="6"/>
      <c r="G89" s="5"/>
    </row>
    <row r="90" spans="1:7" x14ac:dyDescent="0.2">
      <c r="A90" s="6"/>
      <c r="B90" s="6"/>
      <c r="C90" s="6"/>
      <c r="D90" s="6"/>
      <c r="E90" s="6"/>
      <c r="F90" s="6"/>
      <c r="G90" s="5"/>
    </row>
    <row r="91" spans="1:7" x14ac:dyDescent="0.2">
      <c r="A91" s="6"/>
      <c r="B91" s="6"/>
      <c r="C91" s="6"/>
      <c r="D91" s="6"/>
      <c r="E91" s="6"/>
      <c r="F91" s="6"/>
      <c r="G91" s="5"/>
    </row>
    <row r="92" spans="1:7" x14ac:dyDescent="0.2">
      <c r="A92" s="6"/>
      <c r="B92" s="6"/>
      <c r="C92" s="6"/>
      <c r="D92" s="6"/>
      <c r="E92" s="6"/>
      <c r="F92" s="6"/>
    </row>
    <row r="93" spans="1:7" x14ac:dyDescent="0.2">
      <c r="A93" s="6"/>
      <c r="B93" s="6"/>
      <c r="C93" s="6"/>
      <c r="D93" s="6"/>
      <c r="E93" s="6"/>
      <c r="F93" s="6"/>
    </row>
    <row r="94" spans="1:7" x14ac:dyDescent="0.2">
      <c r="A94" s="6"/>
      <c r="B94" s="6"/>
      <c r="C94" s="6"/>
      <c r="D94" s="6"/>
      <c r="E94" s="6"/>
      <c r="F94" s="6"/>
    </row>
    <row r="95" spans="1:7" x14ac:dyDescent="0.2">
      <c r="A95" s="6"/>
      <c r="B95" s="6"/>
      <c r="C95" s="6"/>
      <c r="D95" s="6"/>
      <c r="E95" s="6"/>
      <c r="F95" s="6"/>
    </row>
    <row r="96" spans="1:7" x14ac:dyDescent="0.2">
      <c r="A96" s="6"/>
      <c r="B96" s="6"/>
      <c r="C96" s="6"/>
      <c r="D96" s="6"/>
      <c r="E96" s="6"/>
      <c r="F96" s="6"/>
    </row>
    <row r="97" spans="1:6" x14ac:dyDescent="0.2">
      <c r="A97" s="6"/>
      <c r="B97" s="6"/>
      <c r="C97" s="6"/>
      <c r="D97" s="6"/>
      <c r="E97" s="6"/>
      <c r="F97" s="6"/>
    </row>
    <row r="98" spans="1:6" x14ac:dyDescent="0.2">
      <c r="A98" s="6"/>
      <c r="B98" s="6"/>
      <c r="C98" s="6"/>
      <c r="D98" s="6"/>
      <c r="E98" s="6"/>
      <c r="F98" s="6"/>
    </row>
    <row r="99" spans="1:6" x14ac:dyDescent="0.2">
      <c r="A99" s="6"/>
      <c r="B99" s="6"/>
      <c r="C99" s="6"/>
      <c r="D99" s="6"/>
      <c r="E99" s="6"/>
      <c r="F99" s="6"/>
    </row>
    <row r="100" spans="1:6" x14ac:dyDescent="0.2">
      <c r="A100" s="6"/>
      <c r="B100" s="6"/>
      <c r="C100" s="6"/>
      <c r="D100" s="6"/>
      <c r="E100" s="6"/>
      <c r="F100" s="6"/>
    </row>
    <row r="101" spans="1:6" x14ac:dyDescent="0.2">
      <c r="A101" s="6"/>
      <c r="B101" s="6"/>
      <c r="C101" s="6"/>
      <c r="D101" s="6"/>
      <c r="E101" s="6"/>
      <c r="F101" s="6"/>
    </row>
    <row r="102" spans="1:6" x14ac:dyDescent="0.2">
      <c r="A102" s="6"/>
      <c r="B102" s="6"/>
      <c r="C102" s="6"/>
      <c r="D102" s="6"/>
      <c r="E102" s="6"/>
      <c r="F102" s="6"/>
    </row>
    <row r="103" spans="1:6" x14ac:dyDescent="0.2">
      <c r="A103" s="6"/>
      <c r="B103" s="6"/>
      <c r="C103" s="6"/>
      <c r="D103" s="6"/>
      <c r="E103" s="6"/>
      <c r="F103" s="6"/>
    </row>
    <row r="104" spans="1:6" x14ac:dyDescent="0.2">
      <c r="A104" s="6"/>
      <c r="B104" s="6"/>
      <c r="C104" s="6"/>
      <c r="D104" s="6"/>
      <c r="E104" s="6"/>
      <c r="F104" s="6"/>
    </row>
    <row r="105" spans="1:6" x14ac:dyDescent="0.2">
      <c r="A105" s="6"/>
      <c r="B105" s="6"/>
      <c r="C105" s="6"/>
      <c r="D105" s="6"/>
      <c r="E105" s="6"/>
      <c r="F105" s="6"/>
    </row>
    <row r="106" spans="1:6" x14ac:dyDescent="0.2">
      <c r="A106" s="6"/>
      <c r="B106" s="6"/>
      <c r="C106" s="6"/>
      <c r="D106" s="6"/>
      <c r="E106" s="6"/>
      <c r="F106" s="6"/>
    </row>
    <row r="107" spans="1:6" x14ac:dyDescent="0.2">
      <c r="A107" s="6"/>
      <c r="B107" s="6"/>
      <c r="C107" s="6"/>
      <c r="D107" s="6"/>
      <c r="E107" s="6"/>
      <c r="F107" s="6"/>
    </row>
    <row r="108" spans="1:6" x14ac:dyDescent="0.2">
      <c r="A108" s="6"/>
      <c r="B108" s="6"/>
      <c r="C108" s="6"/>
      <c r="D108" s="6"/>
      <c r="E108" s="6"/>
      <c r="F108" s="6"/>
    </row>
    <row r="109" spans="1:6" x14ac:dyDescent="0.2">
      <c r="A109" s="6"/>
      <c r="B109" s="6"/>
      <c r="C109" s="6"/>
      <c r="D109" s="6"/>
      <c r="E109" s="6"/>
      <c r="F109" s="6"/>
    </row>
    <row r="110" spans="1:6" x14ac:dyDescent="0.2">
      <c r="A110" s="6"/>
      <c r="B110" s="6"/>
      <c r="C110" s="6"/>
      <c r="D110" s="6"/>
      <c r="E110" s="6"/>
      <c r="F110" s="6"/>
    </row>
    <row r="111" spans="1:6" x14ac:dyDescent="0.2">
      <c r="A111" s="6"/>
      <c r="B111" s="6"/>
      <c r="C111" s="6"/>
      <c r="D111" s="6"/>
      <c r="E111" s="6"/>
      <c r="F111" s="6"/>
    </row>
    <row r="112" spans="1:6" x14ac:dyDescent="0.2">
      <c r="A112" s="6"/>
      <c r="B112" s="6"/>
      <c r="C112" s="6"/>
      <c r="D112" s="6"/>
      <c r="E112" s="6"/>
      <c r="F112" s="6"/>
    </row>
    <row r="113" spans="1:6" x14ac:dyDescent="0.2">
      <c r="A113" s="6"/>
      <c r="B113" s="6"/>
      <c r="C113" s="6"/>
      <c r="D113" s="6"/>
      <c r="E113" s="6"/>
      <c r="F113" s="6"/>
    </row>
    <row r="114" spans="1:6" x14ac:dyDescent="0.2">
      <c r="A114" s="6"/>
      <c r="B114" s="6"/>
      <c r="C114" s="6"/>
      <c r="D114" s="6"/>
      <c r="E114" s="6"/>
      <c r="F114" s="6"/>
    </row>
    <row r="115" spans="1:6" x14ac:dyDescent="0.2">
      <c r="A115" s="6"/>
      <c r="B115" s="6"/>
      <c r="C115" s="6"/>
      <c r="D115" s="6"/>
      <c r="E115" s="6"/>
      <c r="F115" s="6"/>
    </row>
    <row r="116" spans="1:6" x14ac:dyDescent="0.2">
      <c r="A116" s="6"/>
      <c r="B116" s="6"/>
      <c r="C116" s="6"/>
      <c r="D116" s="6"/>
      <c r="E116" s="6"/>
      <c r="F116" s="6"/>
    </row>
    <row r="117" spans="1:6" x14ac:dyDescent="0.2">
      <c r="A117" s="6"/>
      <c r="B117" s="6"/>
      <c r="C117" s="6"/>
      <c r="D117" s="6"/>
      <c r="E117" s="6"/>
      <c r="F117" s="6"/>
    </row>
    <row r="118" spans="1:6" x14ac:dyDescent="0.2">
      <c r="A118" s="6"/>
      <c r="B118" s="6"/>
      <c r="C118" s="6"/>
      <c r="D118" s="6"/>
      <c r="E118" s="6"/>
      <c r="F118" s="6"/>
    </row>
    <row r="119" spans="1:6" x14ac:dyDescent="0.2">
      <c r="A119" s="6"/>
      <c r="B119" s="6"/>
      <c r="C119" s="6"/>
      <c r="D119" s="6"/>
      <c r="E119" s="6"/>
      <c r="F119" s="6"/>
    </row>
    <row r="120" spans="1:6" x14ac:dyDescent="0.2">
      <c r="A120" s="6"/>
      <c r="B120" s="6"/>
      <c r="C120" s="6"/>
      <c r="D120" s="6"/>
      <c r="E120" s="6"/>
      <c r="F120" s="6"/>
    </row>
    <row r="121" spans="1:6" x14ac:dyDescent="0.2">
      <c r="A121" s="6"/>
      <c r="B121" s="6"/>
      <c r="C121" s="6"/>
      <c r="D121" s="6"/>
      <c r="E121" s="6"/>
      <c r="F121" s="6"/>
    </row>
    <row r="122" spans="1:6" x14ac:dyDescent="0.2">
      <c r="A122" s="6"/>
      <c r="B122" s="6"/>
      <c r="C122" s="6"/>
      <c r="D122" s="6"/>
      <c r="E122" s="6"/>
      <c r="F122" s="6"/>
    </row>
    <row r="123" spans="1:6" x14ac:dyDescent="0.2">
      <c r="A123" s="6"/>
      <c r="B123" s="6"/>
      <c r="C123" s="6"/>
      <c r="D123" s="6"/>
      <c r="E123" s="6"/>
      <c r="F123" s="6"/>
    </row>
    <row r="124" spans="1:6" x14ac:dyDescent="0.2">
      <c r="A124" s="6"/>
      <c r="B124" s="6"/>
      <c r="C124" s="6"/>
      <c r="D124" s="6"/>
      <c r="E124" s="6"/>
      <c r="F124" s="6"/>
    </row>
    <row r="125" spans="1:6" x14ac:dyDescent="0.2">
      <c r="A125" s="6"/>
      <c r="B125" s="6"/>
      <c r="C125" s="6"/>
      <c r="D125" s="6"/>
      <c r="E125" s="6"/>
      <c r="F125" s="6"/>
    </row>
    <row r="126" spans="1:6" x14ac:dyDescent="0.2">
      <c r="A126" s="6"/>
      <c r="B126" s="6"/>
      <c r="C126" s="6"/>
      <c r="D126" s="6"/>
      <c r="E126" s="6"/>
      <c r="F126" s="6"/>
    </row>
    <row r="127" spans="1:6" x14ac:dyDescent="0.2">
      <c r="A127" s="6"/>
      <c r="B127" s="6"/>
      <c r="C127" s="6"/>
      <c r="D127" s="6"/>
      <c r="E127" s="6"/>
      <c r="F127" s="6"/>
    </row>
    <row r="128" spans="1:6" x14ac:dyDescent="0.2">
      <c r="A128" s="6"/>
      <c r="B128" s="6"/>
      <c r="C128" s="6"/>
      <c r="D128" s="6"/>
      <c r="E128" s="6"/>
      <c r="F128" s="6"/>
    </row>
    <row r="129" spans="1:6" x14ac:dyDescent="0.2">
      <c r="A129" s="6"/>
      <c r="B129" s="6"/>
      <c r="C129" s="6"/>
      <c r="D129" s="6"/>
      <c r="E129" s="6"/>
      <c r="F129" s="6"/>
    </row>
    <row r="130" spans="1:6" x14ac:dyDescent="0.2">
      <c r="A130" s="6"/>
      <c r="B130" s="6"/>
      <c r="C130" s="6"/>
      <c r="D130" s="6"/>
      <c r="E130" s="6"/>
      <c r="F130" s="6"/>
    </row>
    <row r="131" spans="1:6" x14ac:dyDescent="0.2">
      <c r="A131" s="6"/>
      <c r="B131" s="6"/>
      <c r="C131" s="6"/>
      <c r="D131" s="6"/>
      <c r="E131" s="6"/>
      <c r="F131" s="6"/>
    </row>
    <row r="132" spans="1:6" x14ac:dyDescent="0.2">
      <c r="A132" s="6"/>
      <c r="B132" s="6"/>
      <c r="C132" s="6"/>
      <c r="D132" s="6"/>
      <c r="E132" s="6"/>
      <c r="F132" s="6"/>
    </row>
    <row r="133" spans="1:6" x14ac:dyDescent="0.2">
      <c r="A133" s="6"/>
      <c r="B133" s="6"/>
      <c r="C133" s="6"/>
      <c r="D133" s="6"/>
      <c r="E133" s="6"/>
      <c r="F133" s="6"/>
    </row>
    <row r="134" spans="1:6" x14ac:dyDescent="0.2">
      <c r="A134" s="6"/>
      <c r="B134" s="6"/>
      <c r="C134" s="6"/>
      <c r="D134" s="6"/>
      <c r="E134" s="6"/>
      <c r="F134" s="6"/>
    </row>
    <row r="135" spans="1:6" x14ac:dyDescent="0.2">
      <c r="A135" s="6"/>
      <c r="B135" s="6"/>
      <c r="C135" s="6"/>
      <c r="D135" s="6"/>
      <c r="E135" s="6"/>
      <c r="F135" s="6"/>
    </row>
    <row r="136" spans="1:6" x14ac:dyDescent="0.2">
      <c r="A136" s="6"/>
      <c r="B136" s="6"/>
      <c r="C136" s="6"/>
      <c r="D136" s="6"/>
      <c r="E136" s="6"/>
      <c r="F136" s="6"/>
    </row>
    <row r="137" spans="1:6" x14ac:dyDescent="0.2">
      <c r="A137" s="6"/>
      <c r="B137" s="6"/>
      <c r="C137" s="6"/>
      <c r="D137" s="6"/>
      <c r="E137" s="6"/>
      <c r="F137" s="6"/>
    </row>
    <row r="138" spans="1:6" x14ac:dyDescent="0.2">
      <c r="A138" s="6"/>
      <c r="B138" s="6"/>
      <c r="C138" s="6"/>
      <c r="D138" s="6"/>
      <c r="E138" s="6"/>
      <c r="F138" s="6"/>
    </row>
    <row r="139" spans="1:6" x14ac:dyDescent="0.2">
      <c r="A139" s="6"/>
      <c r="B139" s="6"/>
      <c r="C139" s="6"/>
      <c r="D139" s="6"/>
      <c r="E139" s="6"/>
      <c r="F139" s="6"/>
    </row>
    <row r="140" spans="1:6" x14ac:dyDescent="0.2">
      <c r="A140" s="6"/>
      <c r="B140" s="6"/>
      <c r="C140" s="6"/>
      <c r="D140" s="6"/>
      <c r="E140" s="6"/>
      <c r="F140" s="6"/>
    </row>
    <row r="141" spans="1:6" x14ac:dyDescent="0.2">
      <c r="A141" s="6"/>
      <c r="B141" s="6"/>
      <c r="C141" s="6"/>
      <c r="D141" s="6"/>
      <c r="E141" s="6"/>
      <c r="F141" s="6"/>
    </row>
    <row r="142" spans="1:6" x14ac:dyDescent="0.2">
      <c r="A142" s="6"/>
      <c r="B142" s="6"/>
      <c r="C142" s="6"/>
      <c r="D142" s="6"/>
      <c r="E142" s="6"/>
      <c r="F142" s="6"/>
    </row>
    <row r="143" spans="1:6" x14ac:dyDescent="0.2">
      <c r="A143" s="6"/>
      <c r="B143" s="6"/>
      <c r="C143" s="6"/>
      <c r="D143" s="6"/>
      <c r="E143" s="6"/>
      <c r="F143" s="6"/>
    </row>
    <row r="144" spans="1:6" x14ac:dyDescent="0.2">
      <c r="A144" s="6"/>
      <c r="B144" s="6"/>
      <c r="C144" s="6"/>
      <c r="D144" s="6"/>
      <c r="E144" s="6"/>
      <c r="F144" s="6"/>
    </row>
    <row r="145" spans="1:6" x14ac:dyDescent="0.2">
      <c r="A145" s="6"/>
      <c r="B145" s="6"/>
      <c r="C145" s="6"/>
      <c r="D145" s="6"/>
      <c r="E145" s="6"/>
      <c r="F145" s="6"/>
    </row>
    <row r="146" spans="1:6" x14ac:dyDescent="0.2">
      <c r="A146" s="6"/>
      <c r="B146" s="6"/>
      <c r="C146" s="6"/>
      <c r="D146" s="6"/>
      <c r="E146" s="6"/>
      <c r="F146" s="6"/>
    </row>
    <row r="147" spans="1:6" x14ac:dyDescent="0.2">
      <c r="A147" s="6"/>
      <c r="B147" s="6"/>
      <c r="C147" s="6"/>
      <c r="D147" s="6"/>
      <c r="E147" s="6"/>
      <c r="F147" s="6"/>
    </row>
    <row r="148" spans="1:6" x14ac:dyDescent="0.2">
      <c r="A148" s="6"/>
      <c r="B148" s="6"/>
      <c r="C148" s="6"/>
      <c r="D148" s="6"/>
      <c r="E148" s="6"/>
      <c r="F148" s="6"/>
    </row>
    <row r="149" spans="1:6" x14ac:dyDescent="0.2">
      <c r="A149" s="6"/>
      <c r="B149" s="6"/>
      <c r="C149" s="6"/>
      <c r="D149" s="6"/>
      <c r="E149" s="6"/>
      <c r="F149" s="6"/>
    </row>
    <row r="150" spans="1:6" x14ac:dyDescent="0.2">
      <c r="A150" s="6"/>
      <c r="B150" s="6"/>
      <c r="C150" s="6"/>
      <c r="D150" s="6"/>
      <c r="E150" s="6"/>
      <c r="F150" s="6"/>
    </row>
    <row r="151" spans="1:6" x14ac:dyDescent="0.2">
      <c r="A151" s="6"/>
      <c r="B151" s="6"/>
      <c r="C151" s="6"/>
      <c r="D151" s="6"/>
      <c r="E151" s="6"/>
      <c r="F151" s="6"/>
    </row>
    <row r="152" spans="1:6" x14ac:dyDescent="0.2">
      <c r="A152" s="6"/>
      <c r="B152" s="6"/>
      <c r="C152" s="6"/>
      <c r="D152" s="6"/>
      <c r="E152" s="6"/>
      <c r="F152" s="6"/>
    </row>
    <row r="153" spans="1:6" x14ac:dyDescent="0.2">
      <c r="A153" s="6"/>
      <c r="B153" s="6"/>
      <c r="C153" s="6"/>
      <c r="D153" s="6"/>
      <c r="E153" s="6"/>
      <c r="F153" s="6"/>
    </row>
    <row r="154" spans="1:6" x14ac:dyDescent="0.2">
      <c r="A154" s="6"/>
      <c r="B154" s="6"/>
      <c r="C154" s="6"/>
      <c r="D154" s="6"/>
      <c r="E154" s="6"/>
      <c r="F154" s="6"/>
    </row>
    <row r="155" spans="1:6" x14ac:dyDescent="0.2">
      <c r="A155" s="6"/>
      <c r="B155" s="6"/>
      <c r="C155" s="6"/>
      <c r="D155" s="6"/>
      <c r="E155" s="6"/>
      <c r="F155" s="6"/>
    </row>
    <row r="156" spans="1:6" x14ac:dyDescent="0.2">
      <c r="A156" s="6"/>
      <c r="B156" s="6"/>
      <c r="C156" s="6"/>
      <c r="D156" s="6"/>
      <c r="E156" s="6"/>
      <c r="F156" s="6"/>
    </row>
    <row r="157" spans="1:6" x14ac:dyDescent="0.2">
      <c r="A157" s="6"/>
      <c r="B157" s="6"/>
      <c r="C157" s="6"/>
      <c r="D157" s="6"/>
      <c r="E157" s="6"/>
      <c r="F157" s="6"/>
    </row>
    <row r="158" spans="1:6" x14ac:dyDescent="0.2">
      <c r="A158" s="6"/>
      <c r="B158" s="6"/>
      <c r="C158" s="6"/>
      <c r="D158" s="6"/>
      <c r="E158" s="6"/>
      <c r="F158" s="6"/>
    </row>
    <row r="159" spans="1:6" x14ac:dyDescent="0.2">
      <c r="A159" s="6"/>
      <c r="B159" s="6"/>
      <c r="C159" s="6"/>
      <c r="D159" s="6"/>
      <c r="E159" s="6"/>
      <c r="F159" s="6"/>
    </row>
    <row r="160" spans="1:6" x14ac:dyDescent="0.2">
      <c r="A160" s="6"/>
      <c r="B160" s="6"/>
      <c r="C160" s="6"/>
      <c r="D160" s="6"/>
      <c r="E160" s="6"/>
      <c r="F160" s="6"/>
    </row>
    <row r="161" spans="1:6" x14ac:dyDescent="0.2">
      <c r="A161" s="6"/>
      <c r="B161" s="6"/>
      <c r="C161" s="6"/>
      <c r="D161" s="6"/>
      <c r="E161" s="6"/>
      <c r="F161" s="6"/>
    </row>
    <row r="162" spans="1:6" x14ac:dyDescent="0.2">
      <c r="A162" s="6"/>
      <c r="B162" s="6"/>
      <c r="C162" s="6"/>
      <c r="D162" s="6"/>
      <c r="E162" s="6"/>
      <c r="F162" s="6"/>
    </row>
    <row r="163" spans="1:6" x14ac:dyDescent="0.2">
      <c r="A163" s="6"/>
      <c r="B163" s="6"/>
      <c r="C163" s="6"/>
      <c r="D163" s="6"/>
      <c r="E163" s="6"/>
      <c r="F163" s="6"/>
    </row>
    <row r="164" spans="1:6" x14ac:dyDescent="0.2">
      <c r="A164" s="6"/>
      <c r="B164" s="6"/>
      <c r="C164" s="6"/>
      <c r="D164" s="6"/>
      <c r="E164" s="6"/>
      <c r="F164" s="6"/>
    </row>
    <row r="165" spans="1:6" x14ac:dyDescent="0.2">
      <c r="A165" s="6"/>
      <c r="B165" s="6"/>
      <c r="C165" s="6"/>
      <c r="D165" s="6"/>
      <c r="E165" s="6"/>
      <c r="F165" s="6"/>
    </row>
    <row r="166" spans="1:6" x14ac:dyDescent="0.2">
      <c r="A166" s="6"/>
      <c r="B166" s="6"/>
      <c r="C166" s="6"/>
      <c r="D166" s="6"/>
      <c r="E166" s="6"/>
      <c r="F166" s="6"/>
    </row>
    <row r="167" spans="1:6" x14ac:dyDescent="0.2">
      <c r="A167" s="6"/>
      <c r="B167" s="6"/>
      <c r="C167" s="6"/>
      <c r="D167" s="6"/>
      <c r="E167" s="6"/>
      <c r="F167" s="6"/>
    </row>
    <row r="168" spans="1:6" x14ac:dyDescent="0.2">
      <c r="A168" s="6"/>
      <c r="B168" s="6"/>
      <c r="C168" s="6"/>
      <c r="D168" s="6"/>
      <c r="E168" s="6"/>
      <c r="F168" s="6"/>
    </row>
    <row r="169" spans="1:6" x14ac:dyDescent="0.2">
      <c r="A169" s="6"/>
      <c r="B169" s="6"/>
      <c r="C169" s="6"/>
      <c r="D169" s="6"/>
      <c r="E169" s="6"/>
      <c r="F169" s="6"/>
    </row>
    <row r="170" spans="1:6" x14ac:dyDescent="0.2">
      <c r="A170" s="6"/>
      <c r="B170" s="6"/>
      <c r="C170" s="6"/>
      <c r="D170" s="6"/>
      <c r="E170" s="6"/>
      <c r="F170" s="6"/>
    </row>
    <row r="171" spans="1:6" x14ac:dyDescent="0.2">
      <c r="A171" s="6"/>
      <c r="B171" s="6"/>
      <c r="C171" s="6"/>
      <c r="D171" s="6"/>
      <c r="E171" s="6"/>
      <c r="F171" s="6"/>
    </row>
    <row r="172" spans="1:6" x14ac:dyDescent="0.2">
      <c r="A172" s="6"/>
      <c r="B172" s="6"/>
      <c r="C172" s="6"/>
      <c r="D172" s="6"/>
      <c r="E172" s="6"/>
      <c r="F172" s="6"/>
    </row>
    <row r="173" spans="1:6" x14ac:dyDescent="0.2">
      <c r="A173" s="6"/>
      <c r="B173" s="6"/>
      <c r="C173" s="6"/>
      <c r="D173" s="6"/>
      <c r="E173" s="6"/>
      <c r="F173" s="6"/>
    </row>
    <row r="174" spans="1:6" x14ac:dyDescent="0.2">
      <c r="A174" s="6"/>
      <c r="B174" s="6"/>
      <c r="C174" s="6"/>
      <c r="D174" s="6"/>
      <c r="E174" s="6"/>
      <c r="F174" s="6"/>
    </row>
    <row r="175" spans="1:6" x14ac:dyDescent="0.2">
      <c r="A175" s="6"/>
      <c r="B175" s="6"/>
      <c r="C175" s="6"/>
      <c r="D175" s="6"/>
      <c r="E175" s="6"/>
      <c r="F175" s="6"/>
    </row>
    <row r="176" spans="1:6" x14ac:dyDescent="0.2">
      <c r="A176" s="6"/>
      <c r="B176" s="6"/>
      <c r="C176" s="6"/>
      <c r="D176" s="6"/>
      <c r="E176" s="6"/>
      <c r="F176" s="6"/>
    </row>
    <row r="177" spans="1:6" x14ac:dyDescent="0.2">
      <c r="A177" s="6"/>
      <c r="B177" s="6"/>
      <c r="C177" s="6"/>
      <c r="D177" s="6"/>
      <c r="E177" s="6"/>
      <c r="F177" s="6"/>
    </row>
    <row r="178" spans="1:6" x14ac:dyDescent="0.2">
      <c r="A178" s="6"/>
      <c r="B178" s="6"/>
      <c r="C178" s="6"/>
      <c r="D178" s="6"/>
      <c r="E178" s="6"/>
      <c r="F178" s="6"/>
    </row>
    <row r="179" spans="1:6" x14ac:dyDescent="0.2">
      <c r="A179" s="6"/>
      <c r="B179" s="6"/>
      <c r="C179" s="6"/>
      <c r="D179" s="6"/>
      <c r="E179" s="6"/>
      <c r="F179" s="6"/>
    </row>
    <row r="180" spans="1:6" x14ac:dyDescent="0.2">
      <c r="A180" s="6"/>
      <c r="B180" s="6"/>
      <c r="C180" s="6"/>
      <c r="D180" s="6"/>
      <c r="E180" s="6"/>
      <c r="F180" s="6"/>
    </row>
    <row r="181" spans="1:6" x14ac:dyDescent="0.2">
      <c r="A181" s="6"/>
      <c r="B181" s="6"/>
      <c r="C181" s="6"/>
      <c r="D181" s="6"/>
      <c r="E181" s="6"/>
      <c r="F181" s="6"/>
    </row>
    <row r="182" spans="1:6" x14ac:dyDescent="0.2">
      <c r="A182" s="6"/>
      <c r="B182" s="6"/>
      <c r="C182" s="6"/>
      <c r="D182" s="6"/>
      <c r="E182" s="6"/>
      <c r="F182" s="6"/>
    </row>
    <row r="183" spans="1:6" x14ac:dyDescent="0.2">
      <c r="A183" s="6"/>
      <c r="B183" s="6"/>
      <c r="C183" s="6"/>
      <c r="D183" s="6"/>
      <c r="E183" s="6"/>
      <c r="F183" s="6"/>
    </row>
    <row r="184" spans="1:6" x14ac:dyDescent="0.2">
      <c r="A184" s="6"/>
      <c r="B184" s="6"/>
      <c r="C184" s="6"/>
      <c r="D184" s="6"/>
      <c r="E184" s="6"/>
      <c r="F184" s="6"/>
    </row>
    <row r="185" spans="1:6" x14ac:dyDescent="0.2">
      <c r="A185" s="6"/>
      <c r="B185" s="6"/>
      <c r="C185" s="6"/>
      <c r="D185" s="6"/>
      <c r="E185" s="6"/>
      <c r="F185" s="6"/>
    </row>
    <row r="186" spans="1:6" x14ac:dyDescent="0.2">
      <c r="A186" s="6"/>
      <c r="B186" s="6"/>
      <c r="C186" s="6"/>
      <c r="D186" s="6"/>
      <c r="E186" s="6"/>
      <c r="F186" s="6"/>
    </row>
    <row r="187" spans="1:6" x14ac:dyDescent="0.2">
      <c r="A187" s="6"/>
      <c r="B187" s="6"/>
      <c r="C187" s="6"/>
      <c r="D187" s="6"/>
      <c r="E187" s="6"/>
      <c r="F187" s="6"/>
    </row>
    <row r="188" spans="1:6" x14ac:dyDescent="0.2">
      <c r="A188" s="6"/>
      <c r="B188" s="6"/>
      <c r="C188" s="6"/>
      <c r="D188" s="6"/>
      <c r="E188" s="6"/>
      <c r="F188" s="6"/>
    </row>
    <row r="189" spans="1:6" x14ac:dyDescent="0.2">
      <c r="A189" s="6"/>
      <c r="B189" s="6"/>
      <c r="C189" s="6"/>
      <c r="D189" s="6"/>
      <c r="E189" s="6"/>
      <c r="F189" s="6"/>
    </row>
    <row r="190" spans="1:6" x14ac:dyDescent="0.2">
      <c r="A190" s="6"/>
      <c r="B190" s="6"/>
      <c r="C190" s="6"/>
      <c r="D190" s="6"/>
      <c r="E190" s="6"/>
      <c r="F190" s="6"/>
    </row>
    <row r="191" spans="1:6" x14ac:dyDescent="0.2">
      <c r="A191" s="6"/>
      <c r="B191" s="6"/>
      <c r="C191" s="6"/>
      <c r="D191" s="6"/>
      <c r="E191" s="6"/>
      <c r="F191" s="6"/>
    </row>
    <row r="192" spans="1:6" x14ac:dyDescent="0.2">
      <c r="A192" s="6"/>
      <c r="B192" s="6"/>
      <c r="C192" s="6"/>
      <c r="D192" s="6"/>
      <c r="E192" s="6"/>
      <c r="F192" s="6"/>
    </row>
    <row r="193" spans="1:6" x14ac:dyDescent="0.2">
      <c r="A193" s="6"/>
      <c r="B193" s="6"/>
      <c r="C193" s="6"/>
      <c r="D193" s="6"/>
      <c r="E193" s="6"/>
      <c r="F193" s="6"/>
    </row>
    <row r="194" spans="1:6" x14ac:dyDescent="0.2">
      <c r="A194" s="6"/>
      <c r="B194" s="6"/>
      <c r="C194" s="6"/>
      <c r="D194" s="6"/>
      <c r="E194" s="6"/>
      <c r="F194" s="6"/>
    </row>
    <row r="195" spans="1:6" x14ac:dyDescent="0.2">
      <c r="A195" s="6"/>
      <c r="B195" s="6"/>
      <c r="C195" s="6"/>
      <c r="D195" s="6"/>
      <c r="E195" s="6"/>
      <c r="F195" s="6"/>
    </row>
    <row r="196" spans="1:6" x14ac:dyDescent="0.2">
      <c r="A196" s="6"/>
      <c r="B196" s="6"/>
      <c r="C196" s="6"/>
      <c r="D196" s="6"/>
      <c r="E196" s="6"/>
      <c r="F196" s="6"/>
    </row>
    <row r="197" spans="1:6" x14ac:dyDescent="0.2">
      <c r="A197" s="6"/>
      <c r="B197" s="6"/>
      <c r="C197" s="6"/>
      <c r="D197" s="6"/>
      <c r="E197" s="6"/>
      <c r="F197" s="6"/>
    </row>
    <row r="198" spans="1:6" x14ac:dyDescent="0.2">
      <c r="A198" s="6"/>
      <c r="B198" s="6"/>
      <c r="C198" s="6"/>
      <c r="D198" s="6"/>
      <c r="E198" s="6"/>
      <c r="F198" s="6"/>
    </row>
    <row r="199" spans="1:6" x14ac:dyDescent="0.2">
      <c r="A199" s="6"/>
      <c r="B199" s="6"/>
      <c r="C199" s="6"/>
      <c r="D199" s="6"/>
      <c r="E199" s="6"/>
      <c r="F199" s="6"/>
    </row>
    <row r="200" spans="1:6" x14ac:dyDescent="0.2">
      <c r="A200" s="6"/>
      <c r="B200" s="6"/>
      <c r="C200" s="6"/>
      <c r="D200" s="6"/>
      <c r="E200" s="6"/>
      <c r="F200" s="6"/>
    </row>
    <row r="201" spans="1:6" x14ac:dyDescent="0.2">
      <c r="A201" s="6"/>
      <c r="B201" s="6"/>
      <c r="C201" s="6"/>
      <c r="D201" s="6"/>
      <c r="E201" s="6"/>
      <c r="F201" s="6"/>
    </row>
    <row r="202" spans="1:6" x14ac:dyDescent="0.2">
      <c r="A202" s="6"/>
      <c r="B202" s="6"/>
      <c r="C202" s="6"/>
      <c r="D202" s="6"/>
      <c r="E202" s="6"/>
      <c r="F202" s="6"/>
    </row>
    <row r="203" spans="1:6" x14ac:dyDescent="0.2">
      <c r="A203" s="6"/>
      <c r="B203" s="6"/>
      <c r="C203" s="6"/>
      <c r="D203" s="6"/>
      <c r="E203" s="6"/>
      <c r="F203" s="6"/>
    </row>
    <row r="204" spans="1:6" x14ac:dyDescent="0.2">
      <c r="A204" s="6"/>
      <c r="B204" s="6"/>
      <c r="C204" s="6"/>
      <c r="D204" s="6"/>
      <c r="E204" s="6"/>
      <c r="F204" s="6"/>
    </row>
    <row r="205" spans="1:6" x14ac:dyDescent="0.2">
      <c r="A205" s="6"/>
      <c r="B205" s="6"/>
      <c r="C205" s="6"/>
      <c r="D205" s="6"/>
      <c r="E205" s="6"/>
      <c r="F205" s="6"/>
    </row>
    <row r="206" spans="1:6" x14ac:dyDescent="0.2">
      <c r="A206" s="6"/>
      <c r="B206" s="6"/>
      <c r="C206" s="6"/>
      <c r="D206" s="6"/>
      <c r="E206" s="6"/>
      <c r="F206" s="6"/>
    </row>
    <row r="207" spans="1:6" x14ac:dyDescent="0.2">
      <c r="A207" s="6"/>
      <c r="B207" s="6"/>
      <c r="C207" s="6"/>
      <c r="D207" s="6"/>
      <c r="E207" s="6"/>
      <c r="F207" s="6"/>
    </row>
    <row r="208" spans="1:6" x14ac:dyDescent="0.2">
      <c r="A208" s="6"/>
      <c r="B208" s="6"/>
      <c r="C208" s="6"/>
      <c r="D208" s="6"/>
      <c r="E208" s="6"/>
      <c r="F208" s="6"/>
    </row>
    <row r="209" spans="1:6" x14ac:dyDescent="0.2">
      <c r="A209" s="6"/>
      <c r="B209" s="6"/>
      <c r="C209" s="6"/>
      <c r="D209" s="6"/>
      <c r="E209" s="6"/>
      <c r="F209" s="6"/>
    </row>
    <row r="210" spans="1:6" x14ac:dyDescent="0.2">
      <c r="A210" s="6"/>
      <c r="B210" s="6"/>
      <c r="C210" s="6"/>
      <c r="D210" s="6"/>
      <c r="E210" s="6"/>
      <c r="F210" s="6"/>
    </row>
    <row r="211" spans="1:6" x14ac:dyDescent="0.2">
      <c r="A211" s="6"/>
      <c r="B211" s="6"/>
      <c r="C211" s="6"/>
      <c r="D211" s="6"/>
      <c r="E211" s="6"/>
      <c r="F211" s="6"/>
    </row>
    <row r="212" spans="1:6" x14ac:dyDescent="0.2">
      <c r="A212" s="6"/>
      <c r="B212" s="6"/>
      <c r="C212" s="6"/>
      <c r="D212" s="6"/>
      <c r="E212" s="6"/>
      <c r="F212" s="6"/>
    </row>
    <row r="213" spans="1:6" x14ac:dyDescent="0.2">
      <c r="A213" s="6"/>
      <c r="B213" s="6"/>
      <c r="C213" s="6"/>
      <c r="D213" s="6"/>
      <c r="E213" s="6"/>
      <c r="F213" s="6"/>
    </row>
    <row r="214" spans="1:6" x14ac:dyDescent="0.2">
      <c r="A214" s="6"/>
      <c r="B214" s="6"/>
      <c r="C214" s="6"/>
      <c r="D214" s="6"/>
      <c r="E214" s="6"/>
      <c r="F214" s="6"/>
    </row>
    <row r="215" spans="1:6" x14ac:dyDescent="0.2">
      <c r="A215" s="6"/>
      <c r="B215" s="6"/>
      <c r="C215" s="6"/>
      <c r="D215" s="6"/>
      <c r="E215" s="6"/>
      <c r="F215" s="6"/>
    </row>
    <row r="216" spans="1:6" x14ac:dyDescent="0.2">
      <c r="A216" s="6"/>
      <c r="B216" s="6"/>
      <c r="C216" s="6"/>
      <c r="D216" s="6"/>
      <c r="E216" s="6"/>
      <c r="F216" s="6"/>
    </row>
    <row r="217" spans="1:6" x14ac:dyDescent="0.2">
      <c r="A217" s="6"/>
      <c r="B217" s="6"/>
      <c r="C217" s="6"/>
      <c r="D217" s="6"/>
      <c r="E217" s="6"/>
      <c r="F217" s="6"/>
    </row>
    <row r="218" spans="1:6" x14ac:dyDescent="0.2">
      <c r="A218" s="6"/>
      <c r="B218" s="6"/>
      <c r="C218" s="6"/>
      <c r="D218" s="6"/>
      <c r="E218" s="6"/>
      <c r="F218" s="6"/>
    </row>
    <row r="219" spans="1:6" x14ac:dyDescent="0.2">
      <c r="A219" s="6"/>
      <c r="B219" s="6"/>
      <c r="C219" s="6"/>
      <c r="D219" s="6"/>
      <c r="E219" s="6"/>
      <c r="F219" s="6"/>
    </row>
    <row r="220" spans="1:6" x14ac:dyDescent="0.2">
      <c r="A220" s="6"/>
      <c r="B220" s="6"/>
      <c r="C220" s="6"/>
      <c r="D220" s="6"/>
      <c r="E220" s="6"/>
      <c r="F220" s="6"/>
    </row>
    <row r="221" spans="1:6" x14ac:dyDescent="0.2">
      <c r="A221" s="6"/>
      <c r="B221" s="6"/>
      <c r="C221" s="6"/>
      <c r="D221" s="6"/>
      <c r="E221" s="6"/>
      <c r="F221" s="6"/>
    </row>
    <row r="222" spans="1:6" x14ac:dyDescent="0.2">
      <c r="A222" s="6"/>
      <c r="B222" s="6"/>
      <c r="C222" s="6"/>
      <c r="D222" s="6"/>
      <c r="E222" s="6"/>
      <c r="F222" s="6"/>
    </row>
    <row r="223" spans="1:6" x14ac:dyDescent="0.2">
      <c r="A223" s="6"/>
      <c r="B223" s="6"/>
      <c r="C223" s="6"/>
      <c r="D223" s="6"/>
      <c r="E223" s="6"/>
      <c r="F223" s="6"/>
    </row>
    <row r="224" spans="1:6" x14ac:dyDescent="0.2">
      <c r="A224" s="6"/>
      <c r="B224" s="6"/>
      <c r="C224" s="6"/>
      <c r="D224" s="6"/>
      <c r="E224" s="6"/>
      <c r="F224" s="6"/>
    </row>
    <row r="225" spans="1:6" x14ac:dyDescent="0.2">
      <c r="A225" s="6"/>
      <c r="B225" s="6"/>
      <c r="C225" s="6"/>
      <c r="D225" s="6"/>
      <c r="E225" s="6"/>
      <c r="F225" s="6"/>
    </row>
    <row r="226" spans="1:6" x14ac:dyDescent="0.2">
      <c r="A226" s="6"/>
      <c r="B226" s="6"/>
      <c r="C226" s="6"/>
      <c r="D226" s="6"/>
      <c r="E226" s="6"/>
      <c r="F226" s="6"/>
    </row>
    <row r="227" spans="1:6" x14ac:dyDescent="0.2">
      <c r="A227" s="6"/>
      <c r="B227" s="6"/>
      <c r="C227" s="6"/>
      <c r="D227" s="6"/>
      <c r="E227" s="6"/>
      <c r="F227" s="6"/>
    </row>
    <row r="228" spans="1:6" x14ac:dyDescent="0.2">
      <c r="A228" s="6"/>
      <c r="B228" s="6"/>
      <c r="C228" s="6"/>
      <c r="D228" s="6"/>
      <c r="E228" s="6"/>
      <c r="F228" s="6"/>
    </row>
    <row r="229" spans="1:6" x14ac:dyDescent="0.2">
      <c r="A229" s="6"/>
      <c r="B229" s="6"/>
      <c r="C229" s="6"/>
      <c r="D229" s="6"/>
      <c r="E229" s="6"/>
      <c r="F229" s="6"/>
    </row>
    <row r="230" spans="1:6" x14ac:dyDescent="0.2">
      <c r="A230" s="6"/>
      <c r="B230" s="6"/>
      <c r="C230" s="6"/>
      <c r="D230" s="6"/>
      <c r="E230" s="6"/>
      <c r="F230" s="6"/>
    </row>
    <row r="231" spans="1:6" x14ac:dyDescent="0.2">
      <c r="A231" s="6"/>
      <c r="B231" s="6"/>
      <c r="C231" s="6"/>
      <c r="D231" s="6"/>
      <c r="E231" s="6"/>
      <c r="F231" s="6"/>
    </row>
    <row r="232" spans="1:6" x14ac:dyDescent="0.2">
      <c r="A232" s="6"/>
      <c r="B232" s="6"/>
      <c r="C232" s="6"/>
      <c r="D232" s="6"/>
      <c r="E232" s="6"/>
      <c r="F232" s="6"/>
    </row>
    <row r="233" spans="1:6" x14ac:dyDescent="0.2">
      <c r="A233" s="6"/>
      <c r="B233" s="6"/>
      <c r="C233" s="6"/>
      <c r="D233" s="6"/>
      <c r="E233" s="6"/>
      <c r="F233" s="6"/>
    </row>
    <row r="234" spans="1:6" x14ac:dyDescent="0.2">
      <c r="A234" s="6"/>
      <c r="B234" s="6"/>
      <c r="C234" s="6"/>
      <c r="D234" s="6"/>
      <c r="E234" s="6"/>
      <c r="F234" s="6"/>
    </row>
    <row r="235" spans="1:6" x14ac:dyDescent="0.2">
      <c r="A235" s="6"/>
      <c r="B235" s="6"/>
      <c r="C235" s="6"/>
      <c r="D235" s="6"/>
      <c r="E235" s="6"/>
      <c r="F235" s="6"/>
    </row>
    <row r="236" spans="1:6" x14ac:dyDescent="0.2">
      <c r="A236" s="6"/>
      <c r="B236" s="6"/>
      <c r="C236" s="6"/>
      <c r="D236" s="6"/>
      <c r="E236" s="6"/>
      <c r="F236" s="6"/>
    </row>
    <row r="237" spans="1:6" x14ac:dyDescent="0.2">
      <c r="A237" s="6"/>
      <c r="B237" s="6"/>
      <c r="C237" s="6"/>
      <c r="D237" s="6"/>
      <c r="E237" s="6"/>
      <c r="F237" s="6"/>
    </row>
    <row r="238" spans="1:6" x14ac:dyDescent="0.2">
      <c r="A238" s="6"/>
      <c r="B238" s="6"/>
      <c r="C238" s="6"/>
      <c r="D238" s="6"/>
      <c r="E238" s="6"/>
      <c r="F238" s="6"/>
    </row>
    <row r="239" spans="1:6" x14ac:dyDescent="0.2">
      <c r="A239" s="6"/>
      <c r="B239" s="6"/>
      <c r="C239" s="6"/>
      <c r="D239" s="6"/>
      <c r="E239" s="6"/>
      <c r="F239" s="6"/>
    </row>
    <row r="240" spans="1:6" x14ac:dyDescent="0.2">
      <c r="A240" s="6"/>
      <c r="B240" s="6"/>
      <c r="C240" s="6"/>
      <c r="D240" s="6"/>
      <c r="E240" s="6"/>
      <c r="F240" s="6"/>
    </row>
    <row r="241" spans="1:6" x14ac:dyDescent="0.2">
      <c r="A241" s="6"/>
      <c r="B241" s="6"/>
      <c r="C241" s="6"/>
      <c r="D241" s="6"/>
      <c r="E241" s="6"/>
      <c r="F241" s="6"/>
    </row>
    <row r="242" spans="1:6" x14ac:dyDescent="0.2">
      <c r="A242" s="6"/>
      <c r="B242" s="6"/>
      <c r="C242" s="6"/>
      <c r="D242" s="6"/>
      <c r="E242" s="6"/>
      <c r="F242" s="6"/>
    </row>
    <row r="243" spans="1:6" x14ac:dyDescent="0.2">
      <c r="A243" s="6"/>
      <c r="B243" s="6"/>
      <c r="C243" s="6"/>
      <c r="D243" s="6"/>
      <c r="E243" s="6"/>
      <c r="F243" s="6"/>
    </row>
    <row r="244" spans="1:6" x14ac:dyDescent="0.2">
      <c r="A244" s="6"/>
      <c r="B244" s="6"/>
      <c r="C244" s="6"/>
      <c r="D244" s="6"/>
      <c r="E244" s="6"/>
      <c r="F244" s="6"/>
    </row>
    <row r="245" spans="1:6" x14ac:dyDescent="0.2">
      <c r="A245" s="6"/>
      <c r="B245" s="6"/>
      <c r="C245" s="6"/>
      <c r="D245" s="6"/>
      <c r="E245" s="6"/>
      <c r="F245" s="6"/>
    </row>
    <row r="246" spans="1:6" x14ac:dyDescent="0.2">
      <c r="A246" s="6"/>
      <c r="B246" s="6"/>
      <c r="C246" s="6"/>
      <c r="D246" s="6"/>
      <c r="E246" s="6"/>
      <c r="F246" s="6"/>
    </row>
    <row r="247" spans="1:6" x14ac:dyDescent="0.2">
      <c r="A247" s="6"/>
      <c r="B247" s="6"/>
      <c r="C247" s="6"/>
      <c r="D247" s="6"/>
      <c r="E247" s="6"/>
      <c r="F247" s="6"/>
    </row>
    <row r="248" spans="1:6" x14ac:dyDescent="0.2">
      <c r="A248" s="6"/>
      <c r="B248" s="6"/>
      <c r="C248" s="6"/>
      <c r="D248" s="6"/>
      <c r="E248" s="6"/>
      <c r="F248" s="6"/>
    </row>
    <row r="249" spans="1:6" x14ac:dyDescent="0.2">
      <c r="A249" s="6"/>
      <c r="B249" s="6"/>
      <c r="C249" s="6"/>
      <c r="D249" s="6"/>
      <c r="E249" s="6"/>
      <c r="F249" s="6"/>
    </row>
    <row r="250" spans="1:6" x14ac:dyDescent="0.2">
      <c r="A250" s="6"/>
      <c r="B250" s="6"/>
      <c r="C250" s="6"/>
      <c r="D250" s="6"/>
      <c r="E250" s="6"/>
      <c r="F250" s="6"/>
    </row>
    <row r="251" spans="1:6" x14ac:dyDescent="0.2">
      <c r="A251" s="6"/>
      <c r="B251" s="6"/>
      <c r="C251" s="6"/>
      <c r="D251" s="6"/>
      <c r="E251" s="6"/>
      <c r="F251" s="6"/>
    </row>
  </sheetData>
  <sheetCalcPr fullCalcOnLoad="1"/>
  <sheetProtection sheet="1" selectLockedCells="1" sort="0" autoFilter="0"/>
  <protectedRanges>
    <protectedRange sqref="G2:K3 A1:F1 G1:S3 A8:F65536 G4:H11 J4:K11" name="Диапазон1"/>
    <protectedRange sqref="A2:F7" name="Диапазон1_1"/>
    <protectedRange sqref="I4:I11" name="Диапазон1_2"/>
  </protectedRanges>
  <mergeCells count="11">
    <mergeCell ref="G1:K1"/>
    <mergeCell ref="G4:H4"/>
    <mergeCell ref="G5:H5"/>
    <mergeCell ref="G6:H6"/>
    <mergeCell ref="G7:H7"/>
    <mergeCell ref="G8:H8"/>
    <mergeCell ref="G9:H9"/>
    <mergeCell ref="G10:H10"/>
    <mergeCell ref="G11:H11"/>
    <mergeCell ref="U11:W11"/>
    <mergeCell ref="X11:Z11"/>
  </mergeCells>
  <pageMargins left="0.7" right="0.7" top="0.75" bottom="0.75" header="0.3" footer="0.3"/>
  <pageSetup paperSize="9" orientation="portrait"/>
  <ignoredErrors>
    <ignoredError sqref="U13:W17" evalError="1"/>
  </ignoredErrors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A335-F93C-DD41-A2FB-AA0629208686}">
  <dimension ref="A1:Z251"/>
  <sheetViews>
    <sheetView showGridLines="0" zoomScaleNormal="100" workbookViewId="0">
      <selection activeCell="J3" sqref="J3"/>
    </sheetView>
  </sheetViews>
  <sheetFormatPr baseColWidth="10" defaultColWidth="11.5" defaultRowHeight="15" x14ac:dyDescent="0.2"/>
  <cols>
    <col min="1" max="2" width="8.83203125" customWidth="1"/>
    <col min="3" max="3" width="17.5" customWidth="1"/>
    <col min="4" max="5" width="8.83203125" customWidth="1"/>
    <col min="6" max="6" width="21.6640625" customWidth="1"/>
    <col min="7" max="7" width="11.5" customWidth="1"/>
    <col min="8" max="8" width="13.83203125" customWidth="1"/>
    <col min="9" max="9" width="11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3" t="s">
        <v>5</v>
      </c>
      <c r="H1" s="23"/>
      <c r="I1" s="23"/>
      <c r="J1" s="23"/>
      <c r="K1" s="23"/>
      <c r="L1" s="2"/>
    </row>
    <row r="2" spans="1:26" x14ac:dyDescent="0.2">
      <c r="A2" s="6">
        <v>0</v>
      </c>
      <c r="B2" s="6">
        <v>2</v>
      </c>
      <c r="C2" s="6" t="s">
        <v>7</v>
      </c>
      <c r="D2" s="6">
        <v>0.04</v>
      </c>
      <c r="E2" s="6">
        <v>1</v>
      </c>
      <c r="F2" s="6" t="s">
        <v>11</v>
      </c>
      <c r="G2" s="8">
        <v>0.5</v>
      </c>
      <c r="H2" s="8" t="s">
        <v>25</v>
      </c>
      <c r="I2" s="8">
        <v>3</v>
      </c>
      <c r="J2" s="8">
        <v>5</v>
      </c>
      <c r="K2" s="8">
        <v>10</v>
      </c>
      <c r="L2" s="8"/>
      <c r="M2" s="8"/>
      <c r="N2" s="8"/>
      <c r="O2" s="8"/>
      <c r="P2" s="8"/>
      <c r="Q2" s="8"/>
      <c r="R2" s="8"/>
    </row>
    <row r="3" spans="1:26" x14ac:dyDescent="0.2">
      <c r="A3" s="6">
        <v>1</v>
      </c>
      <c r="B3" s="6">
        <v>2</v>
      </c>
      <c r="C3" s="6" t="s">
        <v>7</v>
      </c>
      <c r="D3" s="6"/>
      <c r="E3" s="6"/>
      <c r="F3" s="6" t="s">
        <v>21</v>
      </c>
      <c r="G3" s="9">
        <v>1</v>
      </c>
      <c r="H3" s="9">
        <v>0.8</v>
      </c>
      <c r="I3" s="9">
        <v>0.6</v>
      </c>
      <c r="J3" s="9">
        <v>0.4</v>
      </c>
      <c r="K3" s="9">
        <v>0.2</v>
      </c>
      <c r="L3" s="9"/>
      <c r="M3" s="9"/>
      <c r="N3" s="9"/>
      <c r="O3" s="9"/>
      <c r="P3" s="9"/>
      <c r="Q3" s="9"/>
      <c r="R3" s="9"/>
    </row>
    <row r="4" spans="1:26" x14ac:dyDescent="0.2">
      <c r="A4" s="6">
        <v>2</v>
      </c>
      <c r="B4" s="6">
        <v>1</v>
      </c>
      <c r="C4" s="6" t="s">
        <v>7</v>
      </c>
      <c r="D4" s="6"/>
      <c r="E4" s="6"/>
      <c r="F4" s="6" t="s">
        <v>13</v>
      </c>
      <c r="G4" s="24" t="s">
        <v>27</v>
      </c>
      <c r="H4" s="24"/>
      <c r="I4" s="10" t="s">
        <v>18</v>
      </c>
      <c r="J4" s="3"/>
      <c r="K4" s="3"/>
      <c r="L4" s="3"/>
      <c r="M4" s="2"/>
      <c r="N4" s="2"/>
    </row>
    <row r="5" spans="1:26" x14ac:dyDescent="0.2">
      <c r="A5" s="6">
        <v>3</v>
      </c>
      <c r="B5" s="6">
        <v>1</v>
      </c>
      <c r="C5" s="6" t="s">
        <v>9</v>
      </c>
      <c r="D5" s="6">
        <v>2.5000000000000001E-2</v>
      </c>
      <c r="E5" s="6">
        <v>1</v>
      </c>
      <c r="F5" s="6" t="s">
        <v>21</v>
      </c>
      <c r="G5" s="24" t="s">
        <v>28</v>
      </c>
      <c r="H5" s="24"/>
      <c r="I5" s="11" t="s">
        <v>20</v>
      </c>
      <c r="J5" s="4"/>
      <c r="K5" s="4"/>
      <c r="L5" s="4"/>
      <c r="M5" s="2"/>
      <c r="N5" s="2"/>
    </row>
    <row r="6" spans="1:26" x14ac:dyDescent="0.2">
      <c r="A6" s="6">
        <v>3.5</v>
      </c>
      <c r="B6" s="6">
        <v>0.5</v>
      </c>
      <c r="C6" s="6" t="s">
        <v>9</v>
      </c>
      <c r="D6" s="6"/>
      <c r="E6" s="6"/>
      <c r="F6" s="6" t="s">
        <v>23</v>
      </c>
      <c r="G6" s="20" t="s">
        <v>29</v>
      </c>
      <c r="H6" s="20"/>
      <c r="I6" s="12">
        <v>0.5</v>
      </c>
    </row>
    <row r="7" spans="1:26" x14ac:dyDescent="0.2">
      <c r="A7" s="6">
        <v>4</v>
      </c>
      <c r="B7" s="6">
        <v>0</v>
      </c>
      <c r="C7" s="6" t="s">
        <v>9</v>
      </c>
      <c r="D7" s="6"/>
      <c r="E7" s="6"/>
      <c r="F7" s="6" t="s">
        <v>23</v>
      </c>
      <c r="G7" s="20" t="s">
        <v>30</v>
      </c>
      <c r="H7" s="20"/>
      <c r="I7" s="12">
        <v>2</v>
      </c>
    </row>
    <row r="8" spans="1:26" x14ac:dyDescent="0.2">
      <c r="A8" s="6">
        <v>5</v>
      </c>
      <c r="B8" s="6">
        <v>0</v>
      </c>
      <c r="C8" s="6" t="s">
        <v>9</v>
      </c>
      <c r="D8" s="6"/>
      <c r="E8" s="6"/>
      <c r="F8" s="6" t="s">
        <v>23</v>
      </c>
      <c r="G8" s="20" t="s">
        <v>31</v>
      </c>
      <c r="H8" s="20"/>
      <c r="I8" s="12" t="s">
        <v>17</v>
      </c>
    </row>
    <row r="9" spans="1:26" x14ac:dyDescent="0.2">
      <c r="A9" s="6">
        <v>5.5</v>
      </c>
      <c r="B9" s="6">
        <v>0.5</v>
      </c>
      <c r="C9" s="6" t="s">
        <v>9</v>
      </c>
      <c r="D9" s="6"/>
      <c r="E9" s="6"/>
      <c r="F9" s="6" t="s">
        <v>13</v>
      </c>
      <c r="G9" s="20" t="s">
        <v>32</v>
      </c>
      <c r="H9" s="20"/>
      <c r="I9" s="13" t="s">
        <v>26</v>
      </c>
    </row>
    <row r="10" spans="1:26" x14ac:dyDescent="0.2">
      <c r="A10" s="6">
        <v>6</v>
      </c>
      <c r="B10" s="6">
        <v>1</v>
      </c>
      <c r="C10" s="6" t="s">
        <v>8</v>
      </c>
      <c r="D10" s="6">
        <v>0.04</v>
      </c>
      <c r="E10" s="6">
        <v>1</v>
      </c>
      <c r="F10" s="6" t="s">
        <v>24</v>
      </c>
      <c r="G10" s="20" t="s">
        <v>33</v>
      </c>
      <c r="H10" s="20"/>
      <c r="I10" s="12">
        <v>2.2000000000000002</v>
      </c>
    </row>
    <row r="11" spans="1:26" x14ac:dyDescent="0.2">
      <c r="A11" s="6">
        <v>7</v>
      </c>
      <c r="B11" s="6">
        <v>1</v>
      </c>
      <c r="C11" s="6" t="s">
        <v>8</v>
      </c>
      <c r="D11" s="6"/>
      <c r="E11" s="6"/>
      <c r="F11" s="6" t="s">
        <v>13</v>
      </c>
      <c r="G11" s="20" t="s">
        <v>34</v>
      </c>
      <c r="H11" s="20"/>
      <c r="I11" s="12" t="s">
        <v>19</v>
      </c>
      <c r="U11" s="21" t="s">
        <v>38</v>
      </c>
      <c r="V11" s="21"/>
      <c r="W11" s="21"/>
      <c r="X11" s="22"/>
      <c r="Y11" s="22"/>
      <c r="Z11" s="22"/>
    </row>
    <row r="12" spans="1:26" x14ac:dyDescent="0.2">
      <c r="A12" s="6">
        <v>8</v>
      </c>
      <c r="B12" s="6">
        <v>2</v>
      </c>
      <c r="C12" s="6" t="s">
        <v>8</v>
      </c>
      <c r="D12" s="6"/>
      <c r="E12" s="6"/>
      <c r="F12" s="6" t="s">
        <v>22</v>
      </c>
      <c r="U12" s="15" t="s">
        <v>37</v>
      </c>
      <c r="V12" s="16" t="s">
        <v>35</v>
      </c>
      <c r="W12" s="16" t="s">
        <v>36</v>
      </c>
      <c r="Y12" s="1"/>
      <c r="Z12" s="1"/>
    </row>
    <row r="13" spans="1:26" x14ac:dyDescent="0.2">
      <c r="A13" s="6">
        <v>9</v>
      </c>
      <c r="B13" s="6">
        <v>2</v>
      </c>
      <c r="C13" s="6" t="s">
        <v>8</v>
      </c>
      <c r="D13" s="6"/>
      <c r="E13" s="6"/>
      <c r="F13" s="6" t="s">
        <v>11</v>
      </c>
      <c r="U13" s="15">
        <f>VALUE(TRIM(LEFTB(I9, SEARCH(",",I9)-1)))</f>
        <v>-0.2</v>
      </c>
      <c r="V13" s="17">
        <f>U16</f>
        <v>0.8</v>
      </c>
      <c r="W13" s="17">
        <f>IFERROR(INDEX(B:B, MATCH(V13, A:A, 1)) +
((V13 - INDEX(A:A, MATCH(V13, A:A, 1))) *
(INDEX(B:B, MATCH(V13, A:A, 1) + 1) - INDEX(B:B, MATCH(V13, A:A, 1))) /
(INDEX(A:A, MATCH(V13, A:A, 1) + 1) - INDEX(A:A, MATCH(V13, A:A, 1)))), #N/A)</f>
        <v>2</v>
      </c>
      <c r="Z13" s="14"/>
    </row>
    <row r="14" spans="1:26" x14ac:dyDescent="0.2">
      <c r="A14" s="6"/>
      <c r="B14" s="6"/>
      <c r="C14" s="6"/>
      <c r="D14" s="6"/>
      <c r="E14" s="6"/>
      <c r="F14" s="6"/>
      <c r="U14" s="18">
        <f>VALUE(TRIM(MID(I9, SEARCH(",",I9)+1, SEARCH(",",I9, SEARCH(",",I9)+1)-SEARCH(",",I9)-1)))</f>
        <v>2</v>
      </c>
      <c r="V14" s="17">
        <f>VALUE(U14)</f>
        <v>2</v>
      </c>
      <c r="W14" s="17">
        <f>IFERROR(VALUE(U13), #N/A)</f>
        <v>-0.2</v>
      </c>
    </row>
    <row r="15" spans="1:26" x14ac:dyDescent="0.2">
      <c r="A15" s="6"/>
      <c r="B15" s="7"/>
      <c r="C15" s="6"/>
      <c r="D15" s="6"/>
      <c r="E15" s="6"/>
      <c r="F15" s="6"/>
      <c r="U15" s="15">
        <f>VALUE(TRIM(MID($I$9, SEARCH(",", $I$9, SEARCH(",", $I$9) + 1) + 1, IFERROR(SEARCH(",", $I$9, SEARCH(",", $I$9, SEARCH(",", $I$9) + 1) + 1) - SEARCH(",", $I$9, SEARCH(",", $I$9) + 1) - 1, LEN($I$9)))))</f>
        <v>7</v>
      </c>
      <c r="V15" s="17">
        <f>VALUE(U15)</f>
        <v>7</v>
      </c>
      <c r="W15" s="17">
        <f>IFERROR(VALUE(U13), #N/A)</f>
        <v>-0.2</v>
      </c>
    </row>
    <row r="16" spans="1:26" x14ac:dyDescent="0.2">
      <c r="A16" s="6"/>
      <c r="B16" s="7"/>
      <c r="C16" s="6"/>
      <c r="D16" s="6"/>
      <c r="E16" s="6"/>
      <c r="F16" s="6"/>
      <c r="U16" s="15">
        <f>VALUE(TRIM(MID($I$9, SEARCH(",", $I$9, SEARCH(",", $I$9, SEARCH(",", $I$9) + 1) + 1) + 1, IFERROR(SEARCH(",", $I$9, SEARCH(",", $I$9, SEARCH(",", $I$9, SEARCH(",", $I$9) + 1) + 1) + 1) - SEARCH(",", $I$9, SEARCH(",", $I$9, SEARCH(",", $I$9) + 1) + 1) - 1, LEN($I$9)))))</f>
        <v>0.8</v>
      </c>
      <c r="V16" s="17">
        <f>VALUE(U17)</f>
        <v>8.1999999999999993</v>
      </c>
      <c r="W16" s="17">
        <f>IFERROR(INDEX(B:B, MATCH(V16, A:A, 1)) +
((V16 - INDEX(A:A, MATCH(V16, A:A, 1))) *
(INDEX(B:B, MATCH(V16, A:A, 1) + 1) - INDEX(B:B, MATCH(V16, A:A, 1))) /
(INDEX(A:A, MATCH(V16, A:A, 1) + 1) - INDEX(A:A, MATCH(V16, A:A, 1)))), #N/A)</f>
        <v>2</v>
      </c>
    </row>
    <row r="17" spans="1:23" x14ac:dyDescent="0.2">
      <c r="A17" s="6"/>
      <c r="B17" s="7"/>
      <c r="C17" s="6"/>
      <c r="D17" s="6"/>
      <c r="E17" s="6"/>
      <c r="F17" s="6"/>
      <c r="U17" s="19" t="str">
        <f>TRIM(MID($I$9, SEARCH(",", $I$9, SEARCH(",", $I$9, SEARCH(",", $I$9, SEARCH(",", $I$9) + 1) + 1) + 1) + 1, IFERROR(SEARCH(",", $I$9, SEARCH(",", $I$9, SEARCH(",", $I$9, SEARCH(",", $I$9, SEARCH(",", $I$9) + 1) + 1) + 1) + 1) - SEARCH(",", $I$9, SEARCH(",", $I$9, SEARCH(",", $I$9, SEARCH(",", $I$9) + 1) + 1) + 1) - 1, LEN($I$9))))</f>
        <v>8.2</v>
      </c>
      <c r="V17" s="15"/>
      <c r="W17" s="15"/>
    </row>
    <row r="18" spans="1:23" x14ac:dyDescent="0.2">
      <c r="A18" s="6"/>
      <c r="B18" s="7"/>
      <c r="C18" s="6"/>
      <c r="D18" s="6"/>
      <c r="E18" s="6"/>
      <c r="F18" s="6"/>
    </row>
    <row r="19" spans="1:23" x14ac:dyDescent="0.2">
      <c r="A19" s="6"/>
      <c r="B19" s="7"/>
      <c r="C19" s="6"/>
      <c r="D19" s="6"/>
      <c r="E19" s="6"/>
      <c r="F19" s="6"/>
    </row>
    <row r="20" spans="1:23" x14ac:dyDescent="0.2">
      <c r="A20" s="6"/>
      <c r="B20" s="7"/>
      <c r="C20" s="6"/>
      <c r="D20" s="6"/>
      <c r="E20" s="6"/>
      <c r="F20" s="6"/>
    </row>
    <row r="21" spans="1:23" x14ac:dyDescent="0.2">
      <c r="A21" s="6"/>
      <c r="B21" s="7"/>
      <c r="C21" s="6"/>
      <c r="D21" s="6"/>
      <c r="E21" s="6"/>
      <c r="F21" s="6"/>
    </row>
    <row r="22" spans="1:23" x14ac:dyDescent="0.2">
      <c r="A22" s="6"/>
      <c r="B22" s="7"/>
      <c r="C22" s="6"/>
      <c r="D22" s="6"/>
      <c r="E22" s="6"/>
      <c r="F22" s="6"/>
    </row>
    <row r="23" spans="1:23" x14ac:dyDescent="0.2">
      <c r="A23" s="6"/>
      <c r="B23" s="7"/>
      <c r="C23" s="6"/>
      <c r="D23" s="6"/>
      <c r="E23" s="6"/>
      <c r="F23" s="6"/>
    </row>
    <row r="24" spans="1:23" x14ac:dyDescent="0.2">
      <c r="A24" s="6"/>
      <c r="B24" s="7"/>
      <c r="C24" s="6"/>
      <c r="D24" s="6"/>
      <c r="E24" s="6"/>
      <c r="F24" s="6"/>
    </row>
    <row r="25" spans="1:23" x14ac:dyDescent="0.2">
      <c r="A25" s="6"/>
      <c r="B25" s="7"/>
      <c r="C25" s="6"/>
      <c r="D25" s="6"/>
      <c r="E25" s="6"/>
      <c r="F25" s="6"/>
    </row>
    <row r="26" spans="1:23" x14ac:dyDescent="0.2">
      <c r="A26" s="6"/>
      <c r="B26" s="7"/>
      <c r="C26" s="6"/>
      <c r="D26" s="6"/>
      <c r="E26" s="6"/>
      <c r="F26" s="6"/>
    </row>
    <row r="27" spans="1:23" x14ac:dyDescent="0.2">
      <c r="A27" s="6"/>
      <c r="B27" s="7"/>
      <c r="C27" s="6"/>
      <c r="D27" s="6"/>
      <c r="E27" s="6"/>
      <c r="F27" s="6"/>
    </row>
    <row r="28" spans="1:23" x14ac:dyDescent="0.2">
      <c r="A28" s="6"/>
      <c r="B28" s="7"/>
      <c r="C28" s="6"/>
      <c r="D28" s="6"/>
      <c r="E28" s="6"/>
      <c r="F28" s="6"/>
    </row>
    <row r="29" spans="1:23" x14ac:dyDescent="0.2">
      <c r="A29" s="6"/>
      <c r="B29" s="7"/>
      <c r="C29" s="6"/>
      <c r="D29" s="6"/>
      <c r="E29" s="6"/>
      <c r="F29" s="6"/>
    </row>
    <row r="30" spans="1:23" x14ac:dyDescent="0.2">
      <c r="A30" s="6"/>
      <c r="B30" s="7"/>
      <c r="C30" s="6"/>
      <c r="D30" s="6"/>
      <c r="E30" s="6"/>
      <c r="F30" s="6"/>
    </row>
    <row r="31" spans="1:23" x14ac:dyDescent="0.2">
      <c r="A31" s="6"/>
      <c r="B31" s="7"/>
      <c r="C31" s="6"/>
      <c r="D31" s="6"/>
      <c r="E31" s="6"/>
      <c r="F31" s="6"/>
    </row>
    <row r="32" spans="1:23" x14ac:dyDescent="0.2">
      <c r="A32" s="6"/>
      <c r="B32" s="7"/>
      <c r="C32" s="6"/>
      <c r="D32" s="6"/>
      <c r="E32" s="6"/>
      <c r="F32" s="6"/>
    </row>
    <row r="33" spans="1:7" x14ac:dyDescent="0.2">
      <c r="A33" s="6"/>
      <c r="B33" s="7"/>
      <c r="C33" s="6"/>
      <c r="D33" s="6"/>
      <c r="E33" s="6"/>
      <c r="F33" s="6"/>
    </row>
    <row r="34" spans="1:7" x14ac:dyDescent="0.2">
      <c r="A34" s="6"/>
      <c r="B34" s="7"/>
      <c r="C34" s="6"/>
      <c r="D34" s="6"/>
      <c r="E34" s="6"/>
      <c r="F34" s="6"/>
    </row>
    <row r="35" spans="1:7" x14ac:dyDescent="0.2">
      <c r="A35" s="6"/>
      <c r="B35" s="6"/>
      <c r="C35" s="6"/>
      <c r="D35" s="6"/>
      <c r="E35" s="6"/>
      <c r="F35" s="6"/>
    </row>
    <row r="36" spans="1:7" x14ac:dyDescent="0.2">
      <c r="A36" s="6"/>
      <c r="B36" s="6"/>
      <c r="C36" s="6"/>
      <c r="D36" s="6"/>
      <c r="E36" s="6"/>
      <c r="F36" s="6"/>
    </row>
    <row r="37" spans="1:7" x14ac:dyDescent="0.2">
      <c r="A37" s="6"/>
      <c r="B37" s="6"/>
      <c r="C37" s="6"/>
      <c r="D37" s="6"/>
      <c r="E37" s="6"/>
      <c r="F37" s="6"/>
    </row>
    <row r="38" spans="1:7" x14ac:dyDescent="0.2">
      <c r="A38" s="6"/>
      <c r="B38" s="6"/>
      <c r="C38" s="6"/>
      <c r="D38" s="6"/>
      <c r="E38" s="6"/>
      <c r="F38" s="6"/>
    </row>
    <row r="39" spans="1:7" x14ac:dyDescent="0.2">
      <c r="A39" s="6"/>
      <c r="B39" s="6"/>
      <c r="C39" s="6"/>
      <c r="D39" s="6"/>
      <c r="E39" s="6"/>
      <c r="F39" s="6"/>
    </row>
    <row r="40" spans="1:7" x14ac:dyDescent="0.2">
      <c r="A40" s="6"/>
      <c r="B40" s="6"/>
      <c r="C40" s="6"/>
      <c r="D40" s="6"/>
      <c r="E40" s="6"/>
      <c r="F40" s="6"/>
    </row>
    <row r="41" spans="1:7" x14ac:dyDescent="0.2">
      <c r="A41" s="6"/>
      <c r="B41" s="6"/>
      <c r="C41" s="6"/>
      <c r="D41" s="6"/>
      <c r="E41" s="6"/>
      <c r="F41" s="6"/>
    </row>
    <row r="42" spans="1:7" x14ac:dyDescent="0.2">
      <c r="A42" s="6"/>
      <c r="B42" s="6"/>
      <c r="C42" s="6"/>
      <c r="D42" s="6"/>
      <c r="E42" s="6"/>
      <c r="F42" s="6"/>
    </row>
    <row r="43" spans="1:7" x14ac:dyDescent="0.2">
      <c r="A43" s="6"/>
      <c r="B43" s="6"/>
      <c r="C43" s="6"/>
      <c r="D43" s="6"/>
      <c r="E43" s="6"/>
      <c r="F43" s="6"/>
    </row>
    <row r="44" spans="1:7" x14ac:dyDescent="0.2">
      <c r="A44" s="6"/>
      <c r="B44" s="6"/>
      <c r="C44" s="6"/>
      <c r="D44" s="6"/>
      <c r="E44" s="6"/>
      <c r="F44" s="6"/>
      <c r="G44" s="5"/>
    </row>
    <row r="45" spans="1:7" x14ac:dyDescent="0.2">
      <c r="A45" s="6"/>
      <c r="B45" s="6"/>
      <c r="C45" s="6"/>
      <c r="D45" s="6"/>
      <c r="E45" s="6"/>
      <c r="F45" s="6"/>
      <c r="G45" s="5"/>
    </row>
    <row r="46" spans="1:7" x14ac:dyDescent="0.2">
      <c r="A46" s="6"/>
      <c r="B46" s="6"/>
      <c r="C46" s="6"/>
      <c r="D46" s="6"/>
      <c r="E46" s="6"/>
      <c r="F46" s="6"/>
      <c r="G46" s="5"/>
    </row>
    <row r="47" spans="1:7" x14ac:dyDescent="0.2">
      <c r="A47" s="6"/>
      <c r="B47" s="6"/>
      <c r="C47" s="6"/>
      <c r="D47" s="6"/>
      <c r="E47" s="6"/>
      <c r="F47" s="6"/>
      <c r="G47" s="5"/>
    </row>
    <row r="48" spans="1:7" x14ac:dyDescent="0.2">
      <c r="A48" s="6"/>
      <c r="B48" s="6"/>
      <c r="C48" s="6"/>
      <c r="D48" s="6"/>
      <c r="E48" s="6"/>
      <c r="F48" s="6"/>
      <c r="G48" s="5"/>
    </row>
    <row r="49" spans="1:7" x14ac:dyDescent="0.2">
      <c r="A49" s="6"/>
      <c r="B49" s="6"/>
      <c r="C49" s="6"/>
      <c r="D49" s="6"/>
      <c r="E49" s="6"/>
      <c r="F49" s="6"/>
      <c r="G49" s="5"/>
    </row>
    <row r="50" spans="1:7" x14ac:dyDescent="0.2">
      <c r="A50" s="6"/>
      <c r="B50" s="6"/>
      <c r="C50" s="6"/>
      <c r="D50" s="6"/>
      <c r="E50" s="6"/>
      <c r="F50" s="6"/>
      <c r="G50" s="5"/>
    </row>
    <row r="51" spans="1:7" x14ac:dyDescent="0.2">
      <c r="A51" s="6"/>
      <c r="B51" s="6"/>
      <c r="C51" s="6"/>
      <c r="D51" s="6"/>
      <c r="E51" s="6"/>
      <c r="F51" s="6"/>
      <c r="G51" s="5"/>
    </row>
    <row r="52" spans="1:7" x14ac:dyDescent="0.2">
      <c r="A52" s="6"/>
      <c r="B52" s="6"/>
      <c r="C52" s="6"/>
      <c r="D52" s="6"/>
      <c r="E52" s="6"/>
      <c r="F52" s="6"/>
      <c r="G52" s="5"/>
    </row>
    <row r="53" spans="1:7" x14ac:dyDescent="0.2">
      <c r="A53" s="6"/>
      <c r="B53" s="6"/>
      <c r="C53" s="6"/>
      <c r="D53" s="6"/>
      <c r="E53" s="6"/>
      <c r="F53" s="6"/>
      <c r="G53" s="5"/>
    </row>
    <row r="54" spans="1:7" x14ac:dyDescent="0.2">
      <c r="A54" s="6"/>
      <c r="B54" s="6"/>
      <c r="C54" s="6"/>
      <c r="D54" s="6"/>
      <c r="E54" s="6"/>
      <c r="F54" s="6"/>
      <c r="G54" s="5"/>
    </row>
    <row r="55" spans="1:7" x14ac:dyDescent="0.2">
      <c r="A55" s="6"/>
      <c r="B55" s="6"/>
      <c r="C55" s="6"/>
      <c r="D55" s="6"/>
      <c r="E55" s="6"/>
      <c r="F55" s="6"/>
      <c r="G55" s="5"/>
    </row>
    <row r="56" spans="1:7" x14ac:dyDescent="0.2">
      <c r="A56" s="6"/>
      <c r="B56" s="6"/>
      <c r="C56" s="6"/>
      <c r="D56" s="6"/>
      <c r="E56" s="6"/>
      <c r="F56" s="6"/>
      <c r="G56" s="5"/>
    </row>
    <row r="57" spans="1:7" x14ac:dyDescent="0.2">
      <c r="A57" s="6"/>
      <c r="B57" s="6"/>
      <c r="C57" s="6"/>
      <c r="D57" s="6"/>
      <c r="E57" s="6"/>
      <c r="F57" s="6"/>
      <c r="G57" s="5"/>
    </row>
    <row r="58" spans="1:7" x14ac:dyDescent="0.2">
      <c r="A58" s="6"/>
      <c r="B58" s="6"/>
      <c r="C58" s="6"/>
      <c r="D58" s="6"/>
      <c r="E58" s="6"/>
      <c r="F58" s="6"/>
      <c r="G58" s="5"/>
    </row>
    <row r="59" spans="1:7" x14ac:dyDescent="0.2">
      <c r="A59" s="6"/>
      <c r="B59" s="6"/>
      <c r="C59" s="6"/>
      <c r="D59" s="6"/>
      <c r="E59" s="6"/>
      <c r="F59" s="6"/>
      <c r="G59" s="5"/>
    </row>
    <row r="60" spans="1:7" x14ac:dyDescent="0.2">
      <c r="A60" s="6"/>
      <c r="B60" s="6"/>
      <c r="C60" s="6"/>
      <c r="D60" s="6"/>
      <c r="E60" s="6"/>
      <c r="F60" s="6"/>
      <c r="G60" s="5"/>
    </row>
    <row r="61" spans="1:7" x14ac:dyDescent="0.2">
      <c r="A61" s="6"/>
      <c r="B61" s="6"/>
      <c r="C61" s="6"/>
      <c r="D61" s="6"/>
      <c r="E61" s="6"/>
      <c r="F61" s="6"/>
      <c r="G61" s="5"/>
    </row>
    <row r="62" spans="1:7" x14ac:dyDescent="0.2">
      <c r="A62" s="6"/>
      <c r="B62" s="6"/>
      <c r="C62" s="6"/>
      <c r="D62" s="6"/>
      <c r="E62" s="6"/>
      <c r="F62" s="6"/>
      <c r="G62" s="5"/>
    </row>
    <row r="63" spans="1:7" x14ac:dyDescent="0.2">
      <c r="A63" s="6"/>
      <c r="B63" s="6"/>
      <c r="C63" s="6"/>
      <c r="D63" s="6"/>
      <c r="E63" s="6"/>
      <c r="F63" s="6"/>
      <c r="G63" s="5"/>
    </row>
    <row r="64" spans="1:7" x14ac:dyDescent="0.2">
      <c r="A64" s="6"/>
      <c r="B64" s="6"/>
      <c r="C64" s="6"/>
      <c r="D64" s="6"/>
      <c r="E64" s="6"/>
      <c r="F64" s="6"/>
      <c r="G64" s="5"/>
    </row>
    <row r="65" spans="1:7" x14ac:dyDescent="0.2">
      <c r="A65" s="6"/>
      <c r="B65" s="6"/>
      <c r="C65" s="6"/>
      <c r="D65" s="6"/>
      <c r="E65" s="6"/>
      <c r="F65" s="6"/>
      <c r="G65" s="5"/>
    </row>
    <row r="66" spans="1:7" x14ac:dyDescent="0.2">
      <c r="A66" s="6"/>
      <c r="B66" s="6"/>
      <c r="C66" s="6"/>
      <c r="D66" s="6"/>
      <c r="E66" s="6"/>
      <c r="F66" s="6"/>
      <c r="G66" s="5"/>
    </row>
    <row r="67" spans="1:7" x14ac:dyDescent="0.2">
      <c r="A67" s="6"/>
      <c r="B67" s="6"/>
      <c r="C67" s="6"/>
      <c r="D67" s="6"/>
      <c r="E67" s="6"/>
      <c r="F67" s="6"/>
      <c r="G67" s="5"/>
    </row>
    <row r="68" spans="1:7" x14ac:dyDescent="0.2">
      <c r="A68" s="6"/>
      <c r="B68" s="6"/>
      <c r="C68" s="6"/>
      <c r="D68" s="6"/>
      <c r="E68" s="6"/>
      <c r="F68" s="6"/>
      <c r="G68" s="5"/>
    </row>
    <row r="69" spans="1:7" x14ac:dyDescent="0.2">
      <c r="A69" s="6"/>
      <c r="B69" s="6"/>
      <c r="C69" s="6"/>
      <c r="D69" s="6"/>
      <c r="E69" s="6"/>
      <c r="F69" s="6"/>
      <c r="G69" s="5"/>
    </row>
    <row r="70" spans="1:7" x14ac:dyDescent="0.2">
      <c r="A70" s="6"/>
      <c r="B70" s="6"/>
      <c r="C70" s="6"/>
      <c r="D70" s="6"/>
      <c r="E70" s="6"/>
      <c r="F70" s="6"/>
      <c r="G70" s="5"/>
    </row>
    <row r="71" spans="1:7" x14ac:dyDescent="0.2">
      <c r="A71" s="6"/>
      <c r="B71" s="6"/>
      <c r="C71" s="6"/>
      <c r="D71" s="6"/>
      <c r="E71" s="6"/>
      <c r="F71" s="6"/>
      <c r="G71" s="5"/>
    </row>
    <row r="72" spans="1:7" x14ac:dyDescent="0.2">
      <c r="A72" s="6"/>
      <c r="B72" s="6"/>
      <c r="C72" s="6"/>
      <c r="D72" s="6"/>
      <c r="E72" s="6"/>
      <c r="F72" s="6"/>
      <c r="G72" s="5"/>
    </row>
    <row r="73" spans="1:7" x14ac:dyDescent="0.2">
      <c r="A73" s="6"/>
      <c r="B73" s="6"/>
      <c r="C73" s="6"/>
      <c r="D73" s="6"/>
      <c r="E73" s="6"/>
      <c r="F73" s="6"/>
      <c r="G73" s="5"/>
    </row>
    <row r="74" spans="1:7" x14ac:dyDescent="0.2">
      <c r="A74" s="6"/>
      <c r="B74" s="6"/>
      <c r="C74" s="6"/>
      <c r="D74" s="6"/>
      <c r="E74" s="6"/>
      <c r="F74" s="6"/>
      <c r="G74" s="5"/>
    </row>
    <row r="75" spans="1:7" x14ac:dyDescent="0.2">
      <c r="A75" s="6"/>
      <c r="B75" s="6"/>
      <c r="C75" s="6"/>
      <c r="D75" s="6"/>
      <c r="E75" s="6"/>
      <c r="F75" s="6"/>
      <c r="G75" s="5"/>
    </row>
    <row r="76" spans="1:7" x14ac:dyDescent="0.2">
      <c r="A76" s="6"/>
      <c r="B76" s="6"/>
      <c r="C76" s="6"/>
      <c r="D76" s="6"/>
      <c r="E76" s="6"/>
      <c r="F76" s="6"/>
      <c r="G76" s="5"/>
    </row>
    <row r="77" spans="1:7" x14ac:dyDescent="0.2">
      <c r="A77" s="6"/>
      <c r="B77" s="6"/>
      <c r="C77" s="6"/>
      <c r="D77" s="6"/>
      <c r="E77" s="6"/>
      <c r="F77" s="6"/>
      <c r="G77" s="5"/>
    </row>
    <row r="78" spans="1:7" x14ac:dyDescent="0.2">
      <c r="A78" s="6"/>
      <c r="B78" s="6"/>
      <c r="C78" s="6"/>
      <c r="D78" s="6"/>
      <c r="E78" s="6"/>
      <c r="F78" s="6"/>
      <c r="G78" s="5"/>
    </row>
    <row r="79" spans="1:7" x14ac:dyDescent="0.2">
      <c r="A79" s="6"/>
      <c r="B79" s="6"/>
      <c r="C79" s="6"/>
      <c r="D79" s="6"/>
      <c r="E79" s="6"/>
      <c r="F79" s="6"/>
      <c r="G79" s="5"/>
    </row>
    <row r="80" spans="1:7" x14ac:dyDescent="0.2">
      <c r="A80" s="6"/>
      <c r="B80" s="6"/>
      <c r="C80" s="6"/>
      <c r="D80" s="6"/>
      <c r="E80" s="6"/>
      <c r="F80" s="6"/>
      <c r="G80" s="5"/>
    </row>
    <row r="81" spans="1:7" x14ac:dyDescent="0.2">
      <c r="A81" s="6"/>
      <c r="B81" s="6"/>
      <c r="C81" s="6"/>
      <c r="D81" s="6"/>
      <c r="E81" s="6"/>
      <c r="F81" s="6"/>
      <c r="G81" s="5"/>
    </row>
    <row r="82" spans="1:7" x14ac:dyDescent="0.2">
      <c r="A82" s="6"/>
      <c r="B82" s="6"/>
      <c r="C82" s="6"/>
      <c r="D82" s="6"/>
      <c r="E82" s="6"/>
      <c r="F82" s="6"/>
      <c r="G82" s="5"/>
    </row>
    <row r="83" spans="1:7" x14ac:dyDescent="0.2">
      <c r="A83" s="6"/>
      <c r="B83" s="6"/>
      <c r="C83" s="6"/>
      <c r="D83" s="6"/>
      <c r="E83" s="6"/>
      <c r="F83" s="6"/>
      <c r="G83" s="5"/>
    </row>
    <row r="84" spans="1:7" x14ac:dyDescent="0.2">
      <c r="A84" s="6"/>
      <c r="B84" s="6"/>
      <c r="C84" s="6"/>
      <c r="D84" s="6"/>
      <c r="E84" s="6"/>
      <c r="F84" s="6"/>
      <c r="G84" s="5"/>
    </row>
    <row r="85" spans="1:7" x14ac:dyDescent="0.2">
      <c r="A85" s="6"/>
      <c r="B85" s="6"/>
      <c r="C85" s="6"/>
      <c r="D85" s="6"/>
      <c r="E85" s="6"/>
      <c r="F85" s="6"/>
      <c r="G85" s="5"/>
    </row>
    <row r="86" spans="1:7" x14ac:dyDescent="0.2">
      <c r="A86" s="6"/>
      <c r="B86" s="6"/>
      <c r="C86" s="6"/>
      <c r="D86" s="6"/>
      <c r="E86" s="6"/>
      <c r="F86" s="6"/>
      <c r="G86" s="5"/>
    </row>
    <row r="87" spans="1:7" x14ac:dyDescent="0.2">
      <c r="A87" s="6"/>
      <c r="B87" s="6"/>
      <c r="C87" s="6"/>
      <c r="D87" s="6"/>
      <c r="E87" s="6"/>
      <c r="F87" s="6"/>
      <c r="G87" s="5"/>
    </row>
    <row r="88" spans="1:7" x14ac:dyDescent="0.2">
      <c r="A88" s="6"/>
      <c r="B88" s="6"/>
      <c r="C88" s="6"/>
      <c r="D88" s="6"/>
      <c r="E88" s="6"/>
      <c r="F88" s="6"/>
      <c r="G88" s="5"/>
    </row>
    <row r="89" spans="1:7" x14ac:dyDescent="0.2">
      <c r="A89" s="6"/>
      <c r="B89" s="6"/>
      <c r="C89" s="6"/>
      <c r="D89" s="6"/>
      <c r="E89" s="6"/>
      <c r="F89" s="6"/>
      <c r="G89" s="5"/>
    </row>
    <row r="90" spans="1:7" x14ac:dyDescent="0.2">
      <c r="A90" s="6"/>
      <c r="B90" s="6"/>
      <c r="C90" s="6"/>
      <c r="D90" s="6"/>
      <c r="E90" s="6"/>
      <c r="F90" s="6"/>
      <c r="G90" s="5"/>
    </row>
    <row r="91" spans="1:7" x14ac:dyDescent="0.2">
      <c r="A91" s="6"/>
      <c r="B91" s="6"/>
      <c r="C91" s="6"/>
      <c r="D91" s="6"/>
      <c r="E91" s="6"/>
      <c r="F91" s="6"/>
      <c r="G91" s="5"/>
    </row>
    <row r="92" spans="1:7" x14ac:dyDescent="0.2">
      <c r="A92" s="6"/>
      <c r="B92" s="6"/>
      <c r="C92" s="6"/>
      <c r="D92" s="6"/>
      <c r="E92" s="6"/>
      <c r="F92" s="6"/>
    </row>
    <row r="93" spans="1:7" x14ac:dyDescent="0.2">
      <c r="A93" s="6"/>
      <c r="B93" s="6"/>
      <c r="C93" s="6"/>
      <c r="D93" s="6"/>
      <c r="E93" s="6"/>
      <c r="F93" s="6"/>
    </row>
    <row r="94" spans="1:7" x14ac:dyDescent="0.2">
      <c r="A94" s="6"/>
      <c r="B94" s="6"/>
      <c r="C94" s="6"/>
      <c r="D94" s="6"/>
      <c r="E94" s="6"/>
      <c r="F94" s="6"/>
    </row>
    <row r="95" spans="1:7" x14ac:dyDescent="0.2">
      <c r="A95" s="6"/>
      <c r="B95" s="6"/>
      <c r="C95" s="6"/>
      <c r="D95" s="6"/>
      <c r="E95" s="6"/>
      <c r="F95" s="6"/>
    </row>
    <row r="96" spans="1:7" x14ac:dyDescent="0.2">
      <c r="A96" s="6"/>
      <c r="B96" s="6"/>
      <c r="C96" s="6"/>
      <c r="D96" s="6"/>
      <c r="E96" s="6"/>
      <c r="F96" s="6"/>
    </row>
    <row r="97" spans="1:6" x14ac:dyDescent="0.2">
      <c r="A97" s="6"/>
      <c r="B97" s="6"/>
      <c r="C97" s="6"/>
      <c r="D97" s="6"/>
      <c r="E97" s="6"/>
      <c r="F97" s="6"/>
    </row>
    <row r="98" spans="1:6" x14ac:dyDescent="0.2">
      <c r="A98" s="6"/>
      <c r="B98" s="6"/>
      <c r="C98" s="6"/>
      <c r="D98" s="6"/>
      <c r="E98" s="6"/>
      <c r="F98" s="6"/>
    </row>
    <row r="99" spans="1:6" x14ac:dyDescent="0.2">
      <c r="A99" s="6"/>
      <c r="B99" s="6"/>
      <c r="C99" s="6"/>
      <c r="D99" s="6"/>
      <c r="E99" s="6"/>
      <c r="F99" s="6"/>
    </row>
    <row r="100" spans="1:6" x14ac:dyDescent="0.2">
      <c r="A100" s="6"/>
      <c r="B100" s="6"/>
      <c r="C100" s="6"/>
      <c r="D100" s="6"/>
      <c r="E100" s="6"/>
      <c r="F100" s="6"/>
    </row>
    <row r="101" spans="1:6" x14ac:dyDescent="0.2">
      <c r="A101" s="6"/>
      <c r="B101" s="6"/>
      <c r="C101" s="6"/>
      <c r="D101" s="6"/>
      <c r="E101" s="6"/>
      <c r="F101" s="6"/>
    </row>
    <row r="102" spans="1:6" x14ac:dyDescent="0.2">
      <c r="A102" s="6"/>
      <c r="B102" s="6"/>
      <c r="C102" s="6"/>
      <c r="D102" s="6"/>
      <c r="E102" s="6"/>
      <c r="F102" s="6"/>
    </row>
    <row r="103" spans="1:6" x14ac:dyDescent="0.2">
      <c r="A103" s="6"/>
      <c r="B103" s="6"/>
      <c r="C103" s="6"/>
      <c r="D103" s="6"/>
      <c r="E103" s="6"/>
      <c r="F103" s="6"/>
    </row>
    <row r="104" spans="1:6" x14ac:dyDescent="0.2">
      <c r="A104" s="6"/>
      <c r="B104" s="6"/>
      <c r="C104" s="6"/>
      <c r="D104" s="6"/>
      <c r="E104" s="6"/>
      <c r="F104" s="6"/>
    </row>
    <row r="105" spans="1:6" x14ac:dyDescent="0.2">
      <c r="A105" s="6"/>
      <c r="B105" s="6"/>
      <c r="C105" s="6"/>
      <c r="D105" s="6"/>
      <c r="E105" s="6"/>
      <c r="F105" s="6"/>
    </row>
    <row r="106" spans="1:6" x14ac:dyDescent="0.2">
      <c r="A106" s="6"/>
      <c r="B106" s="6"/>
      <c r="C106" s="6"/>
      <c r="D106" s="6"/>
      <c r="E106" s="6"/>
      <c r="F106" s="6"/>
    </row>
    <row r="107" spans="1:6" x14ac:dyDescent="0.2">
      <c r="A107" s="6"/>
      <c r="B107" s="6"/>
      <c r="C107" s="6"/>
      <c r="D107" s="6"/>
      <c r="E107" s="6"/>
      <c r="F107" s="6"/>
    </row>
    <row r="108" spans="1:6" x14ac:dyDescent="0.2">
      <c r="A108" s="6"/>
      <c r="B108" s="6"/>
      <c r="C108" s="6"/>
      <c r="D108" s="6"/>
      <c r="E108" s="6"/>
      <c r="F108" s="6"/>
    </row>
    <row r="109" spans="1:6" x14ac:dyDescent="0.2">
      <c r="A109" s="6"/>
      <c r="B109" s="6"/>
      <c r="C109" s="6"/>
      <c r="D109" s="6"/>
      <c r="E109" s="6"/>
      <c r="F109" s="6"/>
    </row>
    <row r="110" spans="1:6" x14ac:dyDescent="0.2">
      <c r="A110" s="6"/>
      <c r="B110" s="6"/>
      <c r="C110" s="6"/>
      <c r="D110" s="6"/>
      <c r="E110" s="6"/>
      <c r="F110" s="6"/>
    </row>
    <row r="111" spans="1:6" x14ac:dyDescent="0.2">
      <c r="A111" s="6"/>
      <c r="B111" s="6"/>
      <c r="C111" s="6"/>
      <c r="D111" s="6"/>
      <c r="E111" s="6"/>
      <c r="F111" s="6"/>
    </row>
    <row r="112" spans="1:6" x14ac:dyDescent="0.2">
      <c r="A112" s="6"/>
      <c r="B112" s="6"/>
      <c r="C112" s="6"/>
      <c r="D112" s="6"/>
      <c r="E112" s="6"/>
      <c r="F112" s="6"/>
    </row>
    <row r="113" spans="1:6" x14ac:dyDescent="0.2">
      <c r="A113" s="6"/>
      <c r="B113" s="6"/>
      <c r="C113" s="6"/>
      <c r="D113" s="6"/>
      <c r="E113" s="6"/>
      <c r="F113" s="6"/>
    </row>
    <row r="114" spans="1:6" x14ac:dyDescent="0.2">
      <c r="A114" s="6"/>
      <c r="B114" s="6"/>
      <c r="C114" s="6"/>
      <c r="D114" s="6"/>
      <c r="E114" s="6"/>
      <c r="F114" s="6"/>
    </row>
    <row r="115" spans="1:6" x14ac:dyDescent="0.2">
      <c r="A115" s="6"/>
      <c r="B115" s="6"/>
      <c r="C115" s="6"/>
      <c r="D115" s="6"/>
      <c r="E115" s="6"/>
      <c r="F115" s="6"/>
    </row>
    <row r="116" spans="1:6" x14ac:dyDescent="0.2">
      <c r="A116" s="6"/>
      <c r="B116" s="6"/>
      <c r="C116" s="6"/>
      <c r="D116" s="6"/>
      <c r="E116" s="6"/>
      <c r="F116" s="6"/>
    </row>
    <row r="117" spans="1:6" x14ac:dyDescent="0.2">
      <c r="A117" s="6"/>
      <c r="B117" s="6"/>
      <c r="C117" s="6"/>
      <c r="D117" s="6"/>
      <c r="E117" s="6"/>
      <c r="F117" s="6"/>
    </row>
    <row r="118" spans="1:6" x14ac:dyDescent="0.2">
      <c r="A118" s="6"/>
      <c r="B118" s="6"/>
      <c r="C118" s="6"/>
      <c r="D118" s="6"/>
      <c r="E118" s="6"/>
      <c r="F118" s="6"/>
    </row>
    <row r="119" spans="1:6" x14ac:dyDescent="0.2">
      <c r="A119" s="6"/>
      <c r="B119" s="6"/>
      <c r="C119" s="6"/>
      <c r="D119" s="6"/>
      <c r="E119" s="6"/>
      <c r="F119" s="6"/>
    </row>
    <row r="120" spans="1:6" x14ac:dyDescent="0.2">
      <c r="A120" s="6"/>
      <c r="B120" s="6"/>
      <c r="C120" s="6"/>
      <c r="D120" s="6"/>
      <c r="E120" s="6"/>
      <c r="F120" s="6"/>
    </row>
    <row r="121" spans="1:6" x14ac:dyDescent="0.2">
      <c r="A121" s="6"/>
      <c r="B121" s="6"/>
      <c r="C121" s="6"/>
      <c r="D121" s="6"/>
      <c r="E121" s="6"/>
      <c r="F121" s="6"/>
    </row>
    <row r="122" spans="1:6" x14ac:dyDescent="0.2">
      <c r="A122" s="6"/>
      <c r="B122" s="6"/>
      <c r="C122" s="6"/>
      <c r="D122" s="6"/>
      <c r="E122" s="6"/>
      <c r="F122" s="6"/>
    </row>
    <row r="123" spans="1:6" x14ac:dyDescent="0.2">
      <c r="A123" s="6"/>
      <c r="B123" s="6"/>
      <c r="C123" s="6"/>
      <c r="D123" s="6"/>
      <c r="E123" s="6"/>
      <c r="F123" s="6"/>
    </row>
    <row r="124" spans="1:6" x14ac:dyDescent="0.2">
      <c r="A124" s="6"/>
      <c r="B124" s="6"/>
      <c r="C124" s="6"/>
      <c r="D124" s="6"/>
      <c r="E124" s="6"/>
      <c r="F124" s="6"/>
    </row>
    <row r="125" spans="1:6" x14ac:dyDescent="0.2">
      <c r="A125" s="6"/>
      <c r="B125" s="6"/>
      <c r="C125" s="6"/>
      <c r="D125" s="6"/>
      <c r="E125" s="6"/>
      <c r="F125" s="6"/>
    </row>
    <row r="126" spans="1:6" x14ac:dyDescent="0.2">
      <c r="A126" s="6"/>
      <c r="B126" s="6"/>
      <c r="C126" s="6"/>
      <c r="D126" s="6"/>
      <c r="E126" s="6"/>
      <c r="F126" s="6"/>
    </row>
    <row r="127" spans="1:6" x14ac:dyDescent="0.2">
      <c r="A127" s="6"/>
      <c r="B127" s="6"/>
      <c r="C127" s="6"/>
      <c r="D127" s="6"/>
      <c r="E127" s="6"/>
      <c r="F127" s="6"/>
    </row>
    <row r="128" spans="1:6" x14ac:dyDescent="0.2">
      <c r="A128" s="6"/>
      <c r="B128" s="6"/>
      <c r="C128" s="6"/>
      <c r="D128" s="6"/>
      <c r="E128" s="6"/>
      <c r="F128" s="6"/>
    </row>
    <row r="129" spans="1:6" x14ac:dyDescent="0.2">
      <c r="A129" s="6"/>
      <c r="B129" s="6"/>
      <c r="C129" s="6"/>
      <c r="D129" s="6"/>
      <c r="E129" s="6"/>
      <c r="F129" s="6"/>
    </row>
    <row r="130" spans="1:6" x14ac:dyDescent="0.2">
      <c r="A130" s="6"/>
      <c r="B130" s="6"/>
      <c r="C130" s="6"/>
      <c r="D130" s="6"/>
      <c r="E130" s="6"/>
      <c r="F130" s="6"/>
    </row>
    <row r="131" spans="1:6" x14ac:dyDescent="0.2">
      <c r="A131" s="6"/>
      <c r="B131" s="6"/>
      <c r="C131" s="6"/>
      <c r="D131" s="6"/>
      <c r="E131" s="6"/>
      <c r="F131" s="6"/>
    </row>
    <row r="132" spans="1:6" x14ac:dyDescent="0.2">
      <c r="A132" s="6"/>
      <c r="B132" s="6"/>
      <c r="C132" s="6"/>
      <c r="D132" s="6"/>
      <c r="E132" s="6"/>
      <c r="F132" s="6"/>
    </row>
    <row r="133" spans="1:6" x14ac:dyDescent="0.2">
      <c r="A133" s="6"/>
      <c r="B133" s="6"/>
      <c r="C133" s="6"/>
      <c r="D133" s="6"/>
      <c r="E133" s="6"/>
      <c r="F133" s="6"/>
    </row>
    <row r="134" spans="1:6" x14ac:dyDescent="0.2">
      <c r="A134" s="6"/>
      <c r="B134" s="6"/>
      <c r="C134" s="6"/>
      <c r="D134" s="6"/>
      <c r="E134" s="6"/>
      <c r="F134" s="6"/>
    </row>
    <row r="135" spans="1:6" x14ac:dyDescent="0.2">
      <c r="A135" s="6"/>
      <c r="B135" s="6"/>
      <c r="C135" s="6"/>
      <c r="D135" s="6"/>
      <c r="E135" s="6"/>
      <c r="F135" s="6"/>
    </row>
    <row r="136" spans="1:6" x14ac:dyDescent="0.2">
      <c r="A136" s="6"/>
      <c r="B136" s="6"/>
      <c r="C136" s="6"/>
      <c r="D136" s="6"/>
      <c r="E136" s="6"/>
      <c r="F136" s="6"/>
    </row>
    <row r="137" spans="1:6" x14ac:dyDescent="0.2">
      <c r="A137" s="6"/>
      <c r="B137" s="6"/>
      <c r="C137" s="6"/>
      <c r="D137" s="6"/>
      <c r="E137" s="6"/>
      <c r="F137" s="6"/>
    </row>
    <row r="138" spans="1:6" x14ac:dyDescent="0.2">
      <c r="A138" s="6"/>
      <c r="B138" s="6"/>
      <c r="C138" s="6"/>
      <c r="D138" s="6"/>
      <c r="E138" s="6"/>
      <c r="F138" s="6"/>
    </row>
    <row r="139" spans="1:6" x14ac:dyDescent="0.2">
      <c r="A139" s="6"/>
      <c r="B139" s="6"/>
      <c r="C139" s="6"/>
      <c r="D139" s="6"/>
      <c r="E139" s="6"/>
      <c r="F139" s="6"/>
    </row>
    <row r="140" spans="1:6" x14ac:dyDescent="0.2">
      <c r="A140" s="6"/>
      <c r="B140" s="6"/>
      <c r="C140" s="6"/>
      <c r="D140" s="6"/>
      <c r="E140" s="6"/>
      <c r="F140" s="6"/>
    </row>
    <row r="141" spans="1:6" x14ac:dyDescent="0.2">
      <c r="A141" s="6"/>
      <c r="B141" s="6"/>
      <c r="C141" s="6"/>
      <c r="D141" s="6"/>
      <c r="E141" s="6"/>
      <c r="F141" s="6"/>
    </row>
    <row r="142" spans="1:6" x14ac:dyDescent="0.2">
      <c r="A142" s="6"/>
      <c r="B142" s="6"/>
      <c r="C142" s="6"/>
      <c r="D142" s="6"/>
      <c r="E142" s="6"/>
      <c r="F142" s="6"/>
    </row>
    <row r="143" spans="1:6" x14ac:dyDescent="0.2">
      <c r="A143" s="6"/>
      <c r="B143" s="6"/>
      <c r="C143" s="6"/>
      <c r="D143" s="6"/>
      <c r="E143" s="6"/>
      <c r="F143" s="6"/>
    </row>
    <row r="144" spans="1:6" x14ac:dyDescent="0.2">
      <c r="A144" s="6"/>
      <c r="B144" s="6"/>
      <c r="C144" s="6"/>
      <c r="D144" s="6"/>
      <c r="E144" s="6"/>
      <c r="F144" s="6"/>
    </row>
    <row r="145" spans="1:6" x14ac:dyDescent="0.2">
      <c r="A145" s="6"/>
      <c r="B145" s="6"/>
      <c r="C145" s="6"/>
      <c r="D145" s="6"/>
      <c r="E145" s="6"/>
      <c r="F145" s="6"/>
    </row>
    <row r="146" spans="1:6" x14ac:dyDescent="0.2">
      <c r="A146" s="6"/>
      <c r="B146" s="6"/>
      <c r="C146" s="6"/>
      <c r="D146" s="6"/>
      <c r="E146" s="6"/>
      <c r="F146" s="6"/>
    </row>
    <row r="147" spans="1:6" x14ac:dyDescent="0.2">
      <c r="A147" s="6"/>
      <c r="B147" s="6"/>
      <c r="C147" s="6"/>
      <c r="D147" s="6"/>
      <c r="E147" s="6"/>
      <c r="F147" s="6"/>
    </row>
    <row r="148" spans="1:6" x14ac:dyDescent="0.2">
      <c r="A148" s="6"/>
      <c r="B148" s="6"/>
      <c r="C148" s="6"/>
      <c r="D148" s="6"/>
      <c r="E148" s="6"/>
      <c r="F148" s="6"/>
    </row>
    <row r="149" spans="1:6" x14ac:dyDescent="0.2">
      <c r="A149" s="6"/>
      <c r="B149" s="6"/>
      <c r="C149" s="6"/>
      <c r="D149" s="6"/>
      <c r="E149" s="6"/>
      <c r="F149" s="6"/>
    </row>
    <row r="150" spans="1:6" x14ac:dyDescent="0.2">
      <c r="A150" s="6"/>
      <c r="B150" s="6"/>
      <c r="C150" s="6"/>
      <c r="D150" s="6"/>
      <c r="E150" s="6"/>
      <c r="F150" s="6"/>
    </row>
    <row r="151" spans="1:6" x14ac:dyDescent="0.2">
      <c r="A151" s="6"/>
      <c r="B151" s="6"/>
      <c r="C151" s="6"/>
      <c r="D151" s="6"/>
      <c r="E151" s="6"/>
      <c r="F151" s="6"/>
    </row>
    <row r="152" spans="1:6" x14ac:dyDescent="0.2">
      <c r="A152" s="6"/>
      <c r="B152" s="6"/>
      <c r="C152" s="6"/>
      <c r="D152" s="6"/>
      <c r="E152" s="6"/>
      <c r="F152" s="6"/>
    </row>
    <row r="153" spans="1:6" x14ac:dyDescent="0.2">
      <c r="A153" s="6"/>
      <c r="B153" s="6"/>
      <c r="C153" s="6"/>
      <c r="D153" s="6"/>
      <c r="E153" s="6"/>
      <c r="F153" s="6"/>
    </row>
    <row r="154" spans="1:6" x14ac:dyDescent="0.2">
      <c r="A154" s="6"/>
      <c r="B154" s="6"/>
      <c r="C154" s="6"/>
      <c r="D154" s="6"/>
      <c r="E154" s="6"/>
      <c r="F154" s="6"/>
    </row>
    <row r="155" spans="1:6" x14ac:dyDescent="0.2">
      <c r="A155" s="6"/>
      <c r="B155" s="6"/>
      <c r="C155" s="6"/>
      <c r="D155" s="6"/>
      <c r="E155" s="6"/>
      <c r="F155" s="6"/>
    </row>
    <row r="156" spans="1:6" x14ac:dyDescent="0.2">
      <c r="A156" s="6"/>
      <c r="B156" s="6"/>
      <c r="C156" s="6"/>
      <c r="D156" s="6"/>
      <c r="E156" s="6"/>
      <c r="F156" s="6"/>
    </row>
    <row r="157" spans="1:6" x14ac:dyDescent="0.2">
      <c r="A157" s="6"/>
      <c r="B157" s="6"/>
      <c r="C157" s="6"/>
      <c r="D157" s="6"/>
      <c r="E157" s="6"/>
      <c r="F157" s="6"/>
    </row>
    <row r="158" spans="1:6" x14ac:dyDescent="0.2">
      <c r="A158" s="6"/>
      <c r="B158" s="6"/>
      <c r="C158" s="6"/>
      <c r="D158" s="6"/>
      <c r="E158" s="6"/>
      <c r="F158" s="6"/>
    </row>
    <row r="159" spans="1:6" x14ac:dyDescent="0.2">
      <c r="A159" s="6"/>
      <c r="B159" s="6"/>
      <c r="C159" s="6"/>
      <c r="D159" s="6"/>
      <c r="E159" s="6"/>
      <c r="F159" s="6"/>
    </row>
    <row r="160" spans="1:6" x14ac:dyDescent="0.2">
      <c r="A160" s="6"/>
      <c r="B160" s="6"/>
      <c r="C160" s="6"/>
      <c r="D160" s="6"/>
      <c r="E160" s="6"/>
      <c r="F160" s="6"/>
    </row>
    <row r="161" spans="1:6" x14ac:dyDescent="0.2">
      <c r="A161" s="6"/>
      <c r="B161" s="6"/>
      <c r="C161" s="6"/>
      <c r="D161" s="6"/>
      <c r="E161" s="6"/>
      <c r="F161" s="6"/>
    </row>
    <row r="162" spans="1:6" x14ac:dyDescent="0.2">
      <c r="A162" s="6"/>
      <c r="B162" s="6"/>
      <c r="C162" s="6"/>
      <c r="D162" s="6"/>
      <c r="E162" s="6"/>
      <c r="F162" s="6"/>
    </row>
    <row r="163" spans="1:6" x14ac:dyDescent="0.2">
      <c r="A163" s="6"/>
      <c r="B163" s="6"/>
      <c r="C163" s="6"/>
      <c r="D163" s="6"/>
      <c r="E163" s="6"/>
      <c r="F163" s="6"/>
    </row>
    <row r="164" spans="1:6" x14ac:dyDescent="0.2">
      <c r="A164" s="6"/>
      <c r="B164" s="6"/>
      <c r="C164" s="6"/>
      <c r="D164" s="6"/>
      <c r="E164" s="6"/>
      <c r="F164" s="6"/>
    </row>
    <row r="165" spans="1:6" x14ac:dyDescent="0.2">
      <c r="A165" s="6"/>
      <c r="B165" s="6"/>
      <c r="C165" s="6"/>
      <c r="D165" s="6"/>
      <c r="E165" s="6"/>
      <c r="F165" s="6"/>
    </row>
    <row r="166" spans="1:6" x14ac:dyDescent="0.2">
      <c r="A166" s="6"/>
      <c r="B166" s="6"/>
      <c r="C166" s="6"/>
      <c r="D166" s="6"/>
      <c r="E166" s="6"/>
      <c r="F166" s="6"/>
    </row>
    <row r="167" spans="1:6" x14ac:dyDescent="0.2">
      <c r="A167" s="6"/>
      <c r="B167" s="6"/>
      <c r="C167" s="6"/>
      <c r="D167" s="6"/>
      <c r="E167" s="6"/>
      <c r="F167" s="6"/>
    </row>
    <row r="168" spans="1:6" x14ac:dyDescent="0.2">
      <c r="A168" s="6"/>
      <c r="B168" s="6"/>
      <c r="C168" s="6"/>
      <c r="D168" s="6"/>
      <c r="E168" s="6"/>
      <c r="F168" s="6"/>
    </row>
    <row r="169" spans="1:6" x14ac:dyDescent="0.2">
      <c r="A169" s="6"/>
      <c r="B169" s="6"/>
      <c r="C169" s="6"/>
      <c r="D169" s="6"/>
      <c r="E169" s="6"/>
      <c r="F169" s="6"/>
    </row>
    <row r="170" spans="1:6" x14ac:dyDescent="0.2">
      <c r="A170" s="6"/>
      <c r="B170" s="6"/>
      <c r="C170" s="6"/>
      <c r="D170" s="6"/>
      <c r="E170" s="6"/>
      <c r="F170" s="6"/>
    </row>
    <row r="171" spans="1:6" x14ac:dyDescent="0.2">
      <c r="A171" s="6"/>
      <c r="B171" s="6"/>
      <c r="C171" s="6"/>
      <c r="D171" s="6"/>
      <c r="E171" s="6"/>
      <c r="F171" s="6"/>
    </row>
    <row r="172" spans="1:6" x14ac:dyDescent="0.2">
      <c r="A172" s="6"/>
      <c r="B172" s="6"/>
      <c r="C172" s="6"/>
      <c r="D172" s="6"/>
      <c r="E172" s="6"/>
      <c r="F172" s="6"/>
    </row>
    <row r="173" spans="1:6" x14ac:dyDescent="0.2">
      <c r="A173" s="6"/>
      <c r="B173" s="6"/>
      <c r="C173" s="6"/>
      <c r="D173" s="6"/>
      <c r="E173" s="6"/>
      <c r="F173" s="6"/>
    </row>
    <row r="174" spans="1:6" x14ac:dyDescent="0.2">
      <c r="A174" s="6"/>
      <c r="B174" s="6"/>
      <c r="C174" s="6"/>
      <c r="D174" s="6"/>
      <c r="E174" s="6"/>
      <c r="F174" s="6"/>
    </row>
    <row r="175" spans="1:6" x14ac:dyDescent="0.2">
      <c r="A175" s="6"/>
      <c r="B175" s="6"/>
      <c r="C175" s="6"/>
      <c r="D175" s="6"/>
      <c r="E175" s="6"/>
      <c r="F175" s="6"/>
    </row>
    <row r="176" spans="1:6" x14ac:dyDescent="0.2">
      <c r="A176" s="6"/>
      <c r="B176" s="6"/>
      <c r="C176" s="6"/>
      <c r="D176" s="6"/>
      <c r="E176" s="6"/>
      <c r="F176" s="6"/>
    </row>
    <row r="177" spans="1:6" x14ac:dyDescent="0.2">
      <c r="A177" s="6"/>
      <c r="B177" s="6"/>
      <c r="C177" s="6"/>
      <c r="D177" s="6"/>
      <c r="E177" s="6"/>
      <c r="F177" s="6"/>
    </row>
    <row r="178" spans="1:6" x14ac:dyDescent="0.2">
      <c r="A178" s="6"/>
      <c r="B178" s="6"/>
      <c r="C178" s="6"/>
      <c r="D178" s="6"/>
      <c r="E178" s="6"/>
      <c r="F178" s="6"/>
    </row>
    <row r="179" spans="1:6" x14ac:dyDescent="0.2">
      <c r="A179" s="6"/>
      <c r="B179" s="6"/>
      <c r="C179" s="6"/>
      <c r="D179" s="6"/>
      <c r="E179" s="6"/>
      <c r="F179" s="6"/>
    </row>
    <row r="180" spans="1:6" x14ac:dyDescent="0.2">
      <c r="A180" s="6"/>
      <c r="B180" s="6"/>
      <c r="C180" s="6"/>
      <c r="D180" s="6"/>
      <c r="E180" s="6"/>
      <c r="F180" s="6"/>
    </row>
    <row r="181" spans="1:6" x14ac:dyDescent="0.2">
      <c r="A181" s="6"/>
      <c r="B181" s="6"/>
      <c r="C181" s="6"/>
      <c r="D181" s="6"/>
      <c r="E181" s="6"/>
      <c r="F181" s="6"/>
    </row>
    <row r="182" spans="1:6" x14ac:dyDescent="0.2">
      <c r="A182" s="6"/>
      <c r="B182" s="6"/>
      <c r="C182" s="6"/>
      <c r="D182" s="6"/>
      <c r="E182" s="6"/>
      <c r="F182" s="6"/>
    </row>
    <row r="183" spans="1:6" x14ac:dyDescent="0.2">
      <c r="A183" s="6"/>
      <c r="B183" s="6"/>
      <c r="C183" s="6"/>
      <c r="D183" s="6"/>
      <c r="E183" s="6"/>
      <c r="F183" s="6"/>
    </row>
    <row r="184" spans="1:6" x14ac:dyDescent="0.2">
      <c r="A184" s="6"/>
      <c r="B184" s="6"/>
      <c r="C184" s="6"/>
      <c r="D184" s="6"/>
      <c r="E184" s="6"/>
      <c r="F184" s="6"/>
    </row>
    <row r="185" spans="1:6" x14ac:dyDescent="0.2">
      <c r="A185" s="6"/>
      <c r="B185" s="6"/>
      <c r="C185" s="6"/>
      <c r="D185" s="6"/>
      <c r="E185" s="6"/>
      <c r="F185" s="6"/>
    </row>
    <row r="186" spans="1:6" x14ac:dyDescent="0.2">
      <c r="A186" s="6"/>
      <c r="B186" s="6"/>
      <c r="C186" s="6"/>
      <c r="D186" s="6"/>
      <c r="E186" s="6"/>
      <c r="F186" s="6"/>
    </row>
    <row r="187" spans="1:6" x14ac:dyDescent="0.2">
      <c r="A187" s="6"/>
      <c r="B187" s="6"/>
      <c r="C187" s="6"/>
      <c r="D187" s="6"/>
      <c r="E187" s="6"/>
      <c r="F187" s="6"/>
    </row>
    <row r="188" spans="1:6" x14ac:dyDescent="0.2">
      <c r="A188" s="6"/>
      <c r="B188" s="6"/>
      <c r="C188" s="6"/>
      <c r="D188" s="6"/>
      <c r="E188" s="6"/>
      <c r="F188" s="6"/>
    </row>
    <row r="189" spans="1:6" x14ac:dyDescent="0.2">
      <c r="A189" s="6"/>
      <c r="B189" s="6"/>
      <c r="C189" s="6"/>
      <c r="D189" s="6"/>
      <c r="E189" s="6"/>
      <c r="F189" s="6"/>
    </row>
    <row r="190" spans="1:6" x14ac:dyDescent="0.2">
      <c r="A190" s="6"/>
      <c r="B190" s="6"/>
      <c r="C190" s="6"/>
      <c r="D190" s="6"/>
      <c r="E190" s="6"/>
      <c r="F190" s="6"/>
    </row>
    <row r="191" spans="1:6" x14ac:dyDescent="0.2">
      <c r="A191" s="6"/>
      <c r="B191" s="6"/>
      <c r="C191" s="6"/>
      <c r="D191" s="6"/>
      <c r="E191" s="6"/>
      <c r="F191" s="6"/>
    </row>
    <row r="192" spans="1:6" x14ac:dyDescent="0.2">
      <c r="A192" s="6"/>
      <c r="B192" s="6"/>
      <c r="C192" s="6"/>
      <c r="D192" s="6"/>
      <c r="E192" s="6"/>
      <c r="F192" s="6"/>
    </row>
    <row r="193" spans="1:6" x14ac:dyDescent="0.2">
      <c r="A193" s="6"/>
      <c r="B193" s="6"/>
      <c r="C193" s="6"/>
      <c r="D193" s="6"/>
      <c r="E193" s="6"/>
      <c r="F193" s="6"/>
    </row>
    <row r="194" spans="1:6" x14ac:dyDescent="0.2">
      <c r="A194" s="6"/>
      <c r="B194" s="6"/>
      <c r="C194" s="6"/>
      <c r="D194" s="6"/>
      <c r="E194" s="6"/>
      <c r="F194" s="6"/>
    </row>
    <row r="195" spans="1:6" x14ac:dyDescent="0.2">
      <c r="A195" s="6"/>
      <c r="B195" s="6"/>
      <c r="C195" s="6"/>
      <c r="D195" s="6"/>
      <c r="E195" s="6"/>
      <c r="F195" s="6"/>
    </row>
    <row r="196" spans="1:6" x14ac:dyDescent="0.2">
      <c r="A196" s="6"/>
      <c r="B196" s="6"/>
      <c r="C196" s="6"/>
      <c r="D196" s="6"/>
      <c r="E196" s="6"/>
      <c r="F196" s="6"/>
    </row>
    <row r="197" spans="1:6" x14ac:dyDescent="0.2">
      <c r="A197" s="6"/>
      <c r="B197" s="6"/>
      <c r="C197" s="6"/>
      <c r="D197" s="6"/>
      <c r="E197" s="6"/>
      <c r="F197" s="6"/>
    </row>
    <row r="198" spans="1:6" x14ac:dyDescent="0.2">
      <c r="A198" s="6"/>
      <c r="B198" s="6"/>
      <c r="C198" s="6"/>
      <c r="D198" s="6"/>
      <c r="E198" s="6"/>
      <c r="F198" s="6"/>
    </row>
    <row r="199" spans="1:6" x14ac:dyDescent="0.2">
      <c r="A199" s="6"/>
      <c r="B199" s="6"/>
      <c r="C199" s="6"/>
      <c r="D199" s="6"/>
      <c r="E199" s="6"/>
      <c r="F199" s="6"/>
    </row>
    <row r="200" spans="1:6" x14ac:dyDescent="0.2">
      <c r="A200" s="6"/>
      <c r="B200" s="6"/>
      <c r="C200" s="6"/>
      <c r="D200" s="6"/>
      <c r="E200" s="6"/>
      <c r="F200" s="6"/>
    </row>
    <row r="201" spans="1:6" x14ac:dyDescent="0.2">
      <c r="A201" s="6"/>
      <c r="B201" s="6"/>
      <c r="C201" s="6"/>
      <c r="D201" s="6"/>
      <c r="E201" s="6"/>
      <c r="F201" s="6"/>
    </row>
    <row r="202" spans="1:6" x14ac:dyDescent="0.2">
      <c r="A202" s="6"/>
      <c r="B202" s="6"/>
      <c r="C202" s="6"/>
      <c r="D202" s="6"/>
      <c r="E202" s="6"/>
      <c r="F202" s="6"/>
    </row>
    <row r="203" spans="1:6" x14ac:dyDescent="0.2">
      <c r="A203" s="6"/>
      <c r="B203" s="6"/>
      <c r="C203" s="6"/>
      <c r="D203" s="6"/>
      <c r="E203" s="6"/>
      <c r="F203" s="6"/>
    </row>
    <row r="204" spans="1:6" x14ac:dyDescent="0.2">
      <c r="A204" s="6"/>
      <c r="B204" s="6"/>
      <c r="C204" s="6"/>
      <c r="D204" s="6"/>
      <c r="E204" s="6"/>
      <c r="F204" s="6"/>
    </row>
    <row r="205" spans="1:6" x14ac:dyDescent="0.2">
      <c r="A205" s="6"/>
      <c r="B205" s="6"/>
      <c r="C205" s="6"/>
      <c r="D205" s="6"/>
      <c r="E205" s="6"/>
      <c r="F205" s="6"/>
    </row>
    <row r="206" spans="1:6" x14ac:dyDescent="0.2">
      <c r="A206" s="6"/>
      <c r="B206" s="6"/>
      <c r="C206" s="6"/>
      <c r="D206" s="6"/>
      <c r="E206" s="6"/>
      <c r="F206" s="6"/>
    </row>
    <row r="207" spans="1:6" x14ac:dyDescent="0.2">
      <c r="A207" s="6"/>
      <c r="B207" s="6"/>
      <c r="C207" s="6"/>
      <c r="D207" s="6"/>
      <c r="E207" s="6"/>
      <c r="F207" s="6"/>
    </row>
    <row r="208" spans="1:6" x14ac:dyDescent="0.2">
      <c r="A208" s="6"/>
      <c r="B208" s="6"/>
      <c r="C208" s="6"/>
      <c r="D208" s="6"/>
      <c r="E208" s="6"/>
      <c r="F208" s="6"/>
    </row>
    <row r="209" spans="1:6" x14ac:dyDescent="0.2">
      <c r="A209" s="6"/>
      <c r="B209" s="6"/>
      <c r="C209" s="6"/>
      <c r="D209" s="6"/>
      <c r="E209" s="6"/>
      <c r="F209" s="6"/>
    </row>
    <row r="210" spans="1:6" x14ac:dyDescent="0.2">
      <c r="A210" s="6"/>
      <c r="B210" s="6"/>
      <c r="C210" s="6"/>
      <c r="D210" s="6"/>
      <c r="E210" s="6"/>
      <c r="F210" s="6"/>
    </row>
    <row r="211" spans="1:6" x14ac:dyDescent="0.2">
      <c r="A211" s="6"/>
      <c r="B211" s="6"/>
      <c r="C211" s="6"/>
      <c r="D211" s="6"/>
      <c r="E211" s="6"/>
      <c r="F211" s="6"/>
    </row>
    <row r="212" spans="1:6" x14ac:dyDescent="0.2">
      <c r="A212" s="6"/>
      <c r="B212" s="6"/>
      <c r="C212" s="6"/>
      <c r="D212" s="6"/>
      <c r="E212" s="6"/>
      <c r="F212" s="6"/>
    </row>
    <row r="213" spans="1:6" x14ac:dyDescent="0.2">
      <c r="A213" s="6"/>
      <c r="B213" s="6"/>
      <c r="C213" s="6"/>
      <c r="D213" s="6"/>
      <c r="E213" s="6"/>
      <c r="F213" s="6"/>
    </row>
    <row r="214" spans="1:6" x14ac:dyDescent="0.2">
      <c r="A214" s="6"/>
      <c r="B214" s="6"/>
      <c r="C214" s="6"/>
      <c r="D214" s="6"/>
      <c r="E214" s="6"/>
      <c r="F214" s="6"/>
    </row>
    <row r="215" spans="1:6" x14ac:dyDescent="0.2">
      <c r="A215" s="6"/>
      <c r="B215" s="6"/>
      <c r="C215" s="6"/>
      <c r="D215" s="6"/>
      <c r="E215" s="6"/>
      <c r="F215" s="6"/>
    </row>
    <row r="216" spans="1:6" x14ac:dyDescent="0.2">
      <c r="A216" s="6"/>
      <c r="B216" s="6"/>
      <c r="C216" s="6"/>
      <c r="D216" s="6"/>
      <c r="E216" s="6"/>
      <c r="F216" s="6"/>
    </row>
    <row r="217" spans="1:6" x14ac:dyDescent="0.2">
      <c r="A217" s="6"/>
      <c r="B217" s="6"/>
      <c r="C217" s="6"/>
      <c r="D217" s="6"/>
      <c r="E217" s="6"/>
      <c r="F217" s="6"/>
    </row>
    <row r="218" spans="1:6" x14ac:dyDescent="0.2">
      <c r="A218" s="6"/>
      <c r="B218" s="6"/>
      <c r="C218" s="6"/>
      <c r="D218" s="6"/>
      <c r="E218" s="6"/>
      <c r="F218" s="6"/>
    </row>
    <row r="219" spans="1:6" x14ac:dyDescent="0.2">
      <c r="A219" s="6"/>
      <c r="B219" s="6"/>
      <c r="C219" s="6"/>
      <c r="D219" s="6"/>
      <c r="E219" s="6"/>
      <c r="F219" s="6"/>
    </row>
    <row r="220" spans="1:6" x14ac:dyDescent="0.2">
      <c r="A220" s="6"/>
      <c r="B220" s="6"/>
      <c r="C220" s="6"/>
      <c r="D220" s="6"/>
      <c r="E220" s="6"/>
      <c r="F220" s="6"/>
    </row>
    <row r="221" spans="1:6" x14ac:dyDescent="0.2">
      <c r="A221" s="6"/>
      <c r="B221" s="6"/>
      <c r="C221" s="6"/>
      <c r="D221" s="6"/>
      <c r="E221" s="6"/>
      <c r="F221" s="6"/>
    </row>
    <row r="222" spans="1:6" x14ac:dyDescent="0.2">
      <c r="A222" s="6"/>
      <c r="B222" s="6"/>
      <c r="C222" s="6"/>
      <c r="D222" s="6"/>
      <c r="E222" s="6"/>
      <c r="F222" s="6"/>
    </row>
    <row r="223" spans="1:6" x14ac:dyDescent="0.2">
      <c r="A223" s="6"/>
      <c r="B223" s="6"/>
      <c r="C223" s="6"/>
      <c r="D223" s="6"/>
      <c r="E223" s="6"/>
      <c r="F223" s="6"/>
    </row>
    <row r="224" spans="1:6" x14ac:dyDescent="0.2">
      <c r="A224" s="6"/>
      <c r="B224" s="6"/>
      <c r="C224" s="6"/>
      <c r="D224" s="6"/>
      <c r="E224" s="6"/>
      <c r="F224" s="6"/>
    </row>
    <row r="225" spans="1:6" x14ac:dyDescent="0.2">
      <c r="A225" s="6"/>
      <c r="B225" s="6"/>
      <c r="C225" s="6"/>
      <c r="D225" s="6"/>
      <c r="E225" s="6"/>
      <c r="F225" s="6"/>
    </row>
    <row r="226" spans="1:6" x14ac:dyDescent="0.2">
      <c r="A226" s="6"/>
      <c r="B226" s="6"/>
      <c r="C226" s="6"/>
      <c r="D226" s="6"/>
      <c r="E226" s="6"/>
      <c r="F226" s="6"/>
    </row>
    <row r="227" spans="1:6" x14ac:dyDescent="0.2">
      <c r="A227" s="6"/>
      <c r="B227" s="6"/>
      <c r="C227" s="6"/>
      <c r="D227" s="6"/>
      <c r="E227" s="6"/>
      <c r="F227" s="6"/>
    </row>
    <row r="228" spans="1:6" x14ac:dyDescent="0.2">
      <c r="A228" s="6"/>
      <c r="B228" s="6"/>
      <c r="C228" s="6"/>
      <c r="D228" s="6"/>
      <c r="E228" s="6"/>
      <c r="F228" s="6"/>
    </row>
    <row r="229" spans="1:6" x14ac:dyDescent="0.2">
      <c r="A229" s="6"/>
      <c r="B229" s="6"/>
      <c r="C229" s="6"/>
      <c r="D229" s="6"/>
      <c r="E229" s="6"/>
      <c r="F229" s="6"/>
    </row>
    <row r="230" spans="1:6" x14ac:dyDescent="0.2">
      <c r="A230" s="6"/>
      <c r="B230" s="6"/>
      <c r="C230" s="6"/>
      <c r="D230" s="6"/>
      <c r="E230" s="6"/>
      <c r="F230" s="6"/>
    </row>
    <row r="231" spans="1:6" x14ac:dyDescent="0.2">
      <c r="A231" s="6"/>
      <c r="B231" s="6"/>
      <c r="C231" s="6"/>
      <c r="D231" s="6"/>
      <c r="E231" s="6"/>
      <c r="F231" s="6"/>
    </row>
    <row r="232" spans="1:6" x14ac:dyDescent="0.2">
      <c r="A232" s="6"/>
      <c r="B232" s="6"/>
      <c r="C232" s="6"/>
      <c r="D232" s="6"/>
      <c r="E232" s="6"/>
      <c r="F232" s="6"/>
    </row>
    <row r="233" spans="1:6" x14ac:dyDescent="0.2">
      <c r="A233" s="6"/>
      <c r="B233" s="6"/>
      <c r="C233" s="6"/>
      <c r="D233" s="6"/>
      <c r="E233" s="6"/>
      <c r="F233" s="6"/>
    </row>
    <row r="234" spans="1:6" x14ac:dyDescent="0.2">
      <c r="A234" s="6"/>
      <c r="B234" s="6"/>
      <c r="C234" s="6"/>
      <c r="D234" s="6"/>
      <c r="E234" s="6"/>
      <c r="F234" s="6"/>
    </row>
    <row r="235" spans="1:6" x14ac:dyDescent="0.2">
      <c r="A235" s="6"/>
      <c r="B235" s="6"/>
      <c r="C235" s="6"/>
      <c r="D235" s="6"/>
      <c r="E235" s="6"/>
      <c r="F235" s="6"/>
    </row>
    <row r="236" spans="1:6" x14ac:dyDescent="0.2">
      <c r="A236" s="6"/>
      <c r="B236" s="6"/>
      <c r="C236" s="6"/>
      <c r="D236" s="6"/>
      <c r="E236" s="6"/>
      <c r="F236" s="6"/>
    </row>
    <row r="237" spans="1:6" x14ac:dyDescent="0.2">
      <c r="A237" s="6"/>
      <c r="B237" s="6"/>
      <c r="C237" s="6"/>
      <c r="D237" s="6"/>
      <c r="E237" s="6"/>
      <c r="F237" s="6"/>
    </row>
    <row r="238" spans="1:6" x14ac:dyDescent="0.2">
      <c r="A238" s="6"/>
      <c r="B238" s="6"/>
      <c r="C238" s="6"/>
      <c r="D238" s="6"/>
      <c r="E238" s="6"/>
      <c r="F238" s="6"/>
    </row>
    <row r="239" spans="1:6" x14ac:dyDescent="0.2">
      <c r="A239" s="6"/>
      <c r="B239" s="6"/>
      <c r="C239" s="6"/>
      <c r="D239" s="6"/>
      <c r="E239" s="6"/>
      <c r="F239" s="6"/>
    </row>
    <row r="240" spans="1:6" x14ac:dyDescent="0.2">
      <c r="A240" s="6"/>
      <c r="B240" s="6"/>
      <c r="C240" s="6"/>
      <c r="D240" s="6"/>
      <c r="E240" s="6"/>
      <c r="F240" s="6"/>
    </row>
    <row r="241" spans="1:6" x14ac:dyDescent="0.2">
      <c r="A241" s="6"/>
      <c r="B241" s="6"/>
      <c r="C241" s="6"/>
      <c r="D241" s="6"/>
      <c r="E241" s="6"/>
      <c r="F241" s="6"/>
    </row>
    <row r="242" spans="1:6" x14ac:dyDescent="0.2">
      <c r="A242" s="6"/>
      <c r="B242" s="6"/>
      <c r="C242" s="6"/>
      <c r="D242" s="6"/>
      <c r="E242" s="6"/>
      <c r="F242" s="6"/>
    </row>
    <row r="243" spans="1:6" x14ac:dyDescent="0.2">
      <c r="A243" s="6"/>
      <c r="B243" s="6"/>
      <c r="C243" s="6"/>
      <c r="D243" s="6"/>
      <c r="E243" s="6"/>
      <c r="F243" s="6"/>
    </row>
    <row r="244" spans="1:6" x14ac:dyDescent="0.2">
      <c r="A244" s="6"/>
      <c r="B244" s="6"/>
      <c r="C244" s="6"/>
      <c r="D244" s="6"/>
      <c r="E244" s="6"/>
      <c r="F244" s="6"/>
    </row>
    <row r="245" spans="1:6" x14ac:dyDescent="0.2">
      <c r="A245" s="6"/>
      <c r="B245" s="6"/>
      <c r="C245" s="6"/>
      <c r="D245" s="6"/>
      <c r="E245" s="6"/>
      <c r="F245" s="6"/>
    </row>
    <row r="246" spans="1:6" x14ac:dyDescent="0.2">
      <c r="A246" s="6"/>
      <c r="B246" s="6"/>
      <c r="C246" s="6"/>
      <c r="D246" s="6"/>
      <c r="E246" s="6"/>
      <c r="F246" s="6"/>
    </row>
    <row r="247" spans="1:6" x14ac:dyDescent="0.2">
      <c r="A247" s="6"/>
      <c r="B247" s="6"/>
      <c r="C247" s="6"/>
      <c r="D247" s="6"/>
      <c r="E247" s="6"/>
      <c r="F247" s="6"/>
    </row>
    <row r="248" spans="1:6" x14ac:dyDescent="0.2">
      <c r="A248" s="6"/>
      <c r="B248" s="6"/>
      <c r="C248" s="6"/>
      <c r="D248" s="6"/>
      <c r="E248" s="6"/>
      <c r="F248" s="6"/>
    </row>
    <row r="249" spans="1:6" x14ac:dyDescent="0.2">
      <c r="A249" s="6"/>
      <c r="B249" s="6"/>
      <c r="C249" s="6"/>
      <c r="D249" s="6"/>
      <c r="E249" s="6"/>
      <c r="F249" s="6"/>
    </row>
    <row r="250" spans="1:6" x14ac:dyDescent="0.2">
      <c r="A250" s="6"/>
      <c r="B250" s="6"/>
      <c r="C250" s="6"/>
      <c r="D250" s="6"/>
      <c r="E250" s="6"/>
      <c r="F250" s="6"/>
    </row>
    <row r="251" spans="1:6" x14ac:dyDescent="0.2">
      <c r="A251" s="6"/>
      <c r="B251" s="6"/>
      <c r="C251" s="6"/>
      <c r="D251" s="6"/>
      <c r="E251" s="6"/>
      <c r="F251" s="6"/>
    </row>
  </sheetData>
  <sheetCalcPr fullCalcOnLoad="1"/>
  <sheetProtection sheet="1" selectLockedCells="1" sort="0" autoFilter="0"/>
  <protectedRanges>
    <protectedRange sqref="G2:K11 A1:F65536 G1:S3" name="Диапазон1"/>
  </protectedRanges>
  <mergeCells count="11">
    <mergeCell ref="G1:K1"/>
    <mergeCell ref="G4:H4"/>
    <mergeCell ref="G5:H5"/>
    <mergeCell ref="G6:H6"/>
    <mergeCell ref="G7:H7"/>
    <mergeCell ref="G8:H8"/>
    <mergeCell ref="X11:Z11"/>
    <mergeCell ref="U11:W11"/>
    <mergeCell ref="G9:H9"/>
    <mergeCell ref="G10:H10"/>
    <mergeCell ref="G11:H11"/>
  </mergeCells>
  <pageMargins left="0.7" right="0.7" top="0.75" bottom="0.75" header="0.3" footer="0.3"/>
  <pageSetup paperSize="9" orientation="portrait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С. Каменев</dc:creator>
  <cp:lastModifiedBy>Владимир Каменев</cp:lastModifiedBy>
  <dcterms:created xsi:type="dcterms:W3CDTF">2018-12-19T09:11:50Z</dcterms:created>
  <dcterms:modified xsi:type="dcterms:W3CDTF">2025-03-03T14:26:34Z</dcterms:modified>
</cp:coreProperties>
</file>